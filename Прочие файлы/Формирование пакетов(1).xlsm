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StendLoRa\stend\Прочие файлы\"/>
    </mc:Choice>
  </mc:AlternateContent>
  <bookViews>
    <workbookView xWindow="-120" yWindow="-120" windowWidth="20730" windowHeight="11760" activeTab="4"/>
  </bookViews>
  <sheets>
    <sheet name="Запросы" sheetId="1" r:id="rId1"/>
    <sheet name="Конфигуратор" sheetId="2" r:id="rId2"/>
    <sheet name="Реле" sheetId="3" r:id="rId3"/>
    <sheet name="Инструкция" sheetId="4" r:id="rId4"/>
    <sheet name="Приход_пакеты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C94" i="5" l="1"/>
  <c r="B94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C74" i="5"/>
  <c r="C76" i="5"/>
  <c r="E74" i="5"/>
  <c r="D74" i="5"/>
  <c r="B74" i="5"/>
  <c r="Q60" i="5"/>
  <c r="P60" i="5"/>
  <c r="O60" i="5"/>
  <c r="N60" i="5"/>
  <c r="M60" i="5"/>
  <c r="L60" i="5"/>
  <c r="B75" i="5"/>
  <c r="M61" i="5"/>
  <c r="I81" i="5"/>
  <c r="G81" i="5"/>
  <c r="Q81" i="5"/>
  <c r="L81" i="5"/>
  <c r="E81" i="5"/>
  <c r="D75" i="5"/>
  <c r="M81" i="5"/>
  <c r="P61" i="5"/>
  <c r="F81" i="5"/>
  <c r="P81" i="5"/>
  <c r="O81" i="5"/>
  <c r="Q61" i="5"/>
  <c r="B95" i="5"/>
  <c r="O61" i="5"/>
  <c r="N81" i="5"/>
  <c r="J81" i="5"/>
  <c r="L61" i="5"/>
  <c r="R81" i="5"/>
  <c r="C75" i="5"/>
  <c r="N61" i="5"/>
  <c r="K81" i="5"/>
  <c r="D81" i="5"/>
  <c r="S81" i="5"/>
  <c r="H81" i="5"/>
  <c r="E75" i="5"/>
  <c r="C81" i="5"/>
  <c r="C95" i="5"/>
  <c r="B81" i="5"/>
  <c r="P90" i="5" l="1"/>
  <c r="N90" i="5"/>
  <c r="O90" i="5"/>
  <c r="D90" i="5"/>
  <c r="C90" i="5"/>
  <c r="S90" i="5"/>
  <c r="R90" i="5"/>
  <c r="Q90" i="5"/>
  <c r="I90" i="5"/>
  <c r="H90" i="5"/>
  <c r="G90" i="5"/>
  <c r="F90" i="5"/>
  <c r="M90" i="5"/>
  <c r="L90" i="5"/>
  <c r="K90" i="5"/>
  <c r="J90" i="5"/>
  <c r="B104" i="5"/>
  <c r="C96" i="5"/>
  <c r="B90" i="5"/>
  <c r="E90" i="5"/>
  <c r="D76" i="5"/>
  <c r="B76" i="5"/>
  <c r="E76" i="5"/>
  <c r="O70" i="5"/>
  <c r="N70" i="5"/>
  <c r="M70" i="5"/>
  <c r="Q70" i="5"/>
  <c r="L70" i="5"/>
  <c r="P70" i="5"/>
  <c r="K60" i="5"/>
  <c r="J60" i="5"/>
  <c r="I60" i="5"/>
  <c r="H60" i="5"/>
  <c r="G60" i="5"/>
  <c r="F60" i="5"/>
  <c r="E60" i="5"/>
  <c r="D60" i="5"/>
  <c r="C60" i="5"/>
  <c r="B60" i="5"/>
  <c r="C42" i="5"/>
  <c r="G40" i="5"/>
  <c r="F40" i="5"/>
  <c r="E40" i="5"/>
  <c r="D40" i="5"/>
  <c r="C40" i="5"/>
  <c r="M46" i="5"/>
  <c r="L46" i="5"/>
  <c r="K46" i="5"/>
  <c r="J46" i="5"/>
  <c r="I46" i="5"/>
  <c r="H46" i="5"/>
  <c r="G46" i="5"/>
  <c r="F46" i="5"/>
  <c r="E46" i="5"/>
  <c r="D46" i="5"/>
  <c r="C46" i="5"/>
  <c r="B46" i="5"/>
  <c r="C47" i="5"/>
  <c r="K61" i="5"/>
  <c r="L47" i="5"/>
  <c r="H61" i="5"/>
  <c r="E61" i="5"/>
  <c r="K47" i="5"/>
  <c r="D61" i="5"/>
  <c r="F61" i="5"/>
  <c r="F41" i="5"/>
  <c r="C61" i="5"/>
  <c r="J61" i="5"/>
  <c r="G47" i="5"/>
  <c r="C41" i="5"/>
  <c r="H47" i="5"/>
  <c r="D47" i="5"/>
  <c r="D41" i="5"/>
  <c r="G41" i="5"/>
  <c r="B61" i="5"/>
  <c r="I61" i="5"/>
  <c r="M47" i="5"/>
  <c r="B47" i="5"/>
  <c r="F47" i="5"/>
  <c r="E41" i="5"/>
  <c r="J47" i="5"/>
  <c r="I47" i="5"/>
  <c r="E47" i="5"/>
  <c r="G61" i="5"/>
  <c r="J70" i="5" l="1"/>
  <c r="G70" i="5"/>
  <c r="K62" i="5"/>
  <c r="H70" i="5"/>
  <c r="I70" i="5"/>
  <c r="C97" i="5"/>
  <c r="C98" i="5" s="1"/>
  <c r="K63" i="5"/>
  <c r="K64" i="5" s="1"/>
  <c r="B70" i="5"/>
  <c r="F70" i="5"/>
  <c r="E70" i="5"/>
  <c r="D62" i="5"/>
  <c r="C70" i="5"/>
  <c r="G42" i="5"/>
  <c r="F42" i="5"/>
  <c r="E42" i="5"/>
  <c r="E56" i="5"/>
  <c r="I56" i="5"/>
  <c r="H56" i="5"/>
  <c r="L56" i="5"/>
  <c r="M56" i="5"/>
  <c r="G56" i="5"/>
  <c r="K56" i="5"/>
  <c r="F56" i="5"/>
  <c r="J56" i="5"/>
  <c r="B56" i="5"/>
  <c r="D48" i="5"/>
  <c r="C56" i="5"/>
  <c r="C99" i="5" l="1"/>
  <c r="K65" i="5"/>
  <c r="D63" i="5"/>
  <c r="D64" i="5" s="1"/>
  <c r="D49" i="5"/>
  <c r="D50" i="5" s="1"/>
  <c r="C100" i="5" l="1"/>
  <c r="K66" i="5"/>
  <c r="D65" i="5"/>
  <c r="D51" i="5"/>
  <c r="D52" i="5" s="1"/>
  <c r="C101" i="5" l="1"/>
  <c r="C102" i="5" s="1"/>
  <c r="C103" i="5" s="1"/>
  <c r="C104" i="5" s="1"/>
  <c r="K67" i="5"/>
  <c r="K68" i="5" s="1"/>
  <c r="D66" i="5"/>
  <c r="D53" i="5"/>
  <c r="D54" i="5" s="1"/>
  <c r="D55" i="5" s="1"/>
  <c r="D56" i="5" s="1"/>
  <c r="E26" i="5"/>
  <c r="E27" i="5"/>
  <c r="K69" i="5" l="1"/>
  <c r="K70" i="5" s="1"/>
  <c r="D67" i="5"/>
  <c r="D68" i="5" s="1"/>
  <c r="E36" i="5"/>
  <c r="F26" i="5"/>
  <c r="F27" i="5"/>
  <c r="D69" i="5" l="1"/>
  <c r="D70" i="5" s="1"/>
  <c r="F36" i="5"/>
  <c r="G26" i="5"/>
  <c r="G27" i="5"/>
  <c r="G36" i="5" l="1"/>
  <c r="H26" i="5"/>
  <c r="H27" i="5"/>
  <c r="H36" i="5" l="1"/>
  <c r="I26" i="5"/>
  <c r="J26" i="5"/>
  <c r="I27" i="5"/>
  <c r="J27" i="5"/>
  <c r="I36" i="5" l="1"/>
  <c r="J36" i="5"/>
  <c r="K26" i="5"/>
  <c r="K27" i="5"/>
  <c r="K36" i="5" l="1"/>
  <c r="L26" i="5"/>
  <c r="L27" i="5"/>
  <c r="L36" i="5" l="1"/>
  <c r="M26" i="5"/>
  <c r="M27" i="5"/>
  <c r="M36" i="5" l="1"/>
  <c r="N26" i="5"/>
  <c r="O26" i="5"/>
  <c r="P26" i="5"/>
  <c r="Q26" i="5"/>
  <c r="R26" i="5"/>
  <c r="S26" i="5"/>
  <c r="T26" i="5"/>
  <c r="U26" i="5"/>
  <c r="B40" i="5"/>
  <c r="P27" i="5"/>
  <c r="B41" i="5"/>
  <c r="Q27" i="5"/>
  <c r="U27" i="5"/>
  <c r="R27" i="5"/>
  <c r="O27" i="5"/>
  <c r="T27" i="5"/>
  <c r="S27" i="5"/>
  <c r="N27" i="5"/>
  <c r="N36" i="5" l="1"/>
  <c r="O36" i="5"/>
  <c r="U36" i="5"/>
  <c r="Q36" i="5"/>
  <c r="B42" i="5"/>
  <c r="R36" i="5"/>
  <c r="S36" i="5"/>
  <c r="T36" i="5"/>
  <c r="P36" i="5"/>
  <c r="B26" i="5"/>
  <c r="B27" i="5"/>
  <c r="B13" i="5"/>
  <c r="B22" i="5" l="1"/>
  <c r="B36" i="5"/>
  <c r="C26" i="5"/>
  <c r="O42" i="5"/>
  <c r="N42" i="5"/>
  <c r="P42" i="5"/>
  <c r="C27" i="5"/>
  <c r="D42" i="5" l="1"/>
  <c r="C36" i="5"/>
  <c r="D26" i="5"/>
  <c r="D27" i="5"/>
  <c r="D28" i="5" l="1"/>
  <c r="D29" i="5" l="1"/>
  <c r="D30" i="5" s="1"/>
  <c r="P12" i="5"/>
  <c r="O12" i="5"/>
  <c r="N12" i="5"/>
  <c r="M12" i="5"/>
  <c r="L12" i="5"/>
  <c r="K12" i="5"/>
  <c r="D12" i="5"/>
  <c r="N13" i="5"/>
  <c r="K13" i="5"/>
  <c r="O13" i="5"/>
  <c r="P13" i="5"/>
  <c r="L13" i="5"/>
  <c r="M13" i="5"/>
  <c r="D13" i="5"/>
  <c r="M22" i="5" l="1"/>
  <c r="P22" i="5"/>
  <c r="L22" i="5"/>
  <c r="O22" i="5"/>
  <c r="K22" i="5"/>
  <c r="N22" i="5"/>
  <c r="D31" i="5"/>
  <c r="D14" i="5"/>
  <c r="D15" i="5" s="1"/>
  <c r="J12" i="5"/>
  <c r="I12" i="5"/>
  <c r="H12" i="5"/>
  <c r="G12" i="5"/>
  <c r="F12" i="5"/>
  <c r="E12" i="5"/>
  <c r="C12" i="5"/>
  <c r="E13" i="5"/>
  <c r="J13" i="5"/>
  <c r="G13" i="5"/>
  <c r="H13" i="5"/>
  <c r="C13" i="5"/>
  <c r="I13" i="5"/>
  <c r="F13" i="5"/>
  <c r="C22" i="5" l="1"/>
  <c r="J22" i="5"/>
  <c r="H22" i="5"/>
  <c r="G22" i="5"/>
  <c r="F22" i="5"/>
  <c r="E22" i="5"/>
  <c r="D32" i="5"/>
  <c r="D33" i="5" s="1"/>
  <c r="D34" i="5" s="1"/>
  <c r="I14" i="5"/>
  <c r="D17" i="5"/>
  <c r="D16" i="5"/>
  <c r="D6" i="5"/>
  <c r="C6" i="5"/>
  <c r="E6" i="5"/>
  <c r="B6" i="5"/>
  <c r="E1" i="5"/>
  <c r="D1" i="5"/>
  <c r="C1" i="5"/>
  <c r="B1" i="5"/>
  <c r="K27" i="1"/>
  <c r="B7" i="5"/>
  <c r="C7" i="5"/>
  <c r="C27" i="1"/>
  <c r="E27" i="1"/>
  <c r="D2" i="5"/>
  <c r="C2" i="5"/>
  <c r="D7" i="5"/>
  <c r="K4" i="5"/>
  <c r="D35" i="5" l="1"/>
  <c r="D36" i="5" s="1"/>
  <c r="I15" i="5"/>
  <c r="I16" i="5" s="1"/>
  <c r="D18" i="5"/>
  <c r="B8" i="5"/>
  <c r="C3" i="5"/>
  <c r="N27" i="1"/>
  <c r="M27" i="1"/>
  <c r="D8" i="5"/>
  <c r="C8" i="5"/>
  <c r="D3" i="5"/>
  <c r="G6" i="2"/>
  <c r="G5" i="2"/>
  <c r="C14" i="1"/>
  <c r="E17" i="1"/>
  <c r="G12" i="1"/>
  <c r="U6" i="2"/>
  <c r="U8" i="2"/>
  <c r="E4" i="1"/>
  <c r="I12" i="1"/>
  <c r="G5" i="3"/>
  <c r="C6" i="1"/>
  <c r="C5" i="3"/>
  <c r="K15" i="1"/>
  <c r="C7" i="2"/>
  <c r="G7" i="2"/>
  <c r="K17" i="1"/>
  <c r="C5" i="2"/>
  <c r="E11" i="1"/>
  <c r="E6" i="1"/>
  <c r="K14" i="1"/>
  <c r="U7" i="2"/>
  <c r="G8" i="2"/>
  <c r="C17" i="1"/>
  <c r="G10" i="1"/>
  <c r="C6" i="2"/>
  <c r="I10" i="1"/>
  <c r="U5" i="2"/>
  <c r="E8" i="1"/>
  <c r="E10" i="1"/>
  <c r="E8" i="2"/>
  <c r="C8" i="2"/>
  <c r="K6" i="1"/>
  <c r="C11" i="1"/>
  <c r="C4" i="1"/>
  <c r="K11" i="1"/>
  <c r="K10" i="1"/>
  <c r="E5" i="2"/>
  <c r="K4" i="1"/>
  <c r="C15" i="1"/>
  <c r="E6" i="2"/>
  <c r="K8" i="1"/>
  <c r="I11" i="1"/>
  <c r="K12" i="1"/>
  <c r="C12" i="1"/>
  <c r="C10" i="1"/>
  <c r="K5" i="3"/>
  <c r="E7" i="2"/>
  <c r="C8" i="1"/>
  <c r="E14" i="1"/>
  <c r="E15" i="1"/>
  <c r="E5" i="3"/>
  <c r="E12" i="1"/>
  <c r="G11" i="1"/>
  <c r="I17" i="5" l="1"/>
  <c r="D19" i="5"/>
  <c r="N17" i="1"/>
  <c r="M17" i="1"/>
  <c r="M5" i="3"/>
  <c r="N5" i="3"/>
  <c r="W6" i="2"/>
  <c r="X6" i="2"/>
  <c r="M11" i="1"/>
  <c r="N11" i="1"/>
  <c r="M6" i="1"/>
  <c r="N6" i="1"/>
  <c r="X5" i="2"/>
  <c r="W5" i="2"/>
  <c r="W7" i="2"/>
  <c r="X7" i="2"/>
  <c r="M10" i="1"/>
  <c r="N10" i="1"/>
  <c r="N14" i="1"/>
  <c r="M14" i="1"/>
  <c r="M15" i="1"/>
  <c r="N15" i="1"/>
  <c r="M12" i="1"/>
  <c r="N12" i="1"/>
  <c r="X8" i="2"/>
  <c r="W8" i="2"/>
  <c r="N8" i="1"/>
  <c r="M8" i="1"/>
  <c r="N4" i="1"/>
  <c r="M4" i="1"/>
  <c r="I18" i="5" l="1"/>
  <c r="I19" i="5" s="1"/>
  <c r="I20" i="5" s="1"/>
  <c r="D20" i="5"/>
  <c r="D21" i="5" s="1"/>
  <c r="D22" i="5" s="1"/>
  <c r="I21" i="5" l="1"/>
  <c r="I22" i="5" s="1"/>
</calcChain>
</file>

<file path=xl/comments1.xml><?xml version="1.0" encoding="utf-8"?>
<comments xmlns="http://schemas.openxmlformats.org/spreadsheetml/2006/main">
  <authors>
    <author>Иван Ендовицкий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16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17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30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4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50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50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51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K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P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K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P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P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K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P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C96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C97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C9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</commentList>
</comments>
</file>

<file path=xl/sharedStrings.xml><?xml version="1.0" encoding="utf-8"?>
<sst xmlns="http://schemas.openxmlformats.org/spreadsheetml/2006/main" count="326" uniqueCount="171">
  <si>
    <t>Адрес</t>
  </si>
  <si>
    <t>UUID</t>
  </si>
  <si>
    <t>1</t>
  </si>
  <si>
    <t>2</t>
  </si>
  <si>
    <t>3</t>
  </si>
  <si>
    <t>4</t>
  </si>
  <si>
    <t>МЕШОК</t>
  </si>
  <si>
    <t>09</t>
  </si>
  <si>
    <t>01</t>
  </si>
  <si>
    <t>02</t>
  </si>
  <si>
    <t>03</t>
  </si>
  <si>
    <t>05</t>
  </si>
  <si>
    <t>06</t>
  </si>
  <si>
    <t>Адрес наоборот</t>
  </si>
  <si>
    <t>UUID наоборот</t>
  </si>
  <si>
    <t>РАЗДЕЛИТЕЛЬ</t>
  </si>
  <si>
    <t xml:space="preserve"> </t>
  </si>
  <si>
    <t>00171932</t>
  </si>
  <si>
    <t>Тип пакета</t>
  </si>
  <si>
    <t>Смещение наоборот</t>
  </si>
  <si>
    <t>f00f</t>
  </si>
  <si>
    <t>Корректировка часов электросчётчика</t>
  </si>
  <si>
    <t>Запрос информации о счётчике</t>
  </si>
  <si>
    <t>Запрос мгновенных значений</t>
  </si>
  <si>
    <t>Запрос накоплений</t>
  </si>
  <si>
    <t>Тип значений</t>
  </si>
  <si>
    <t>unixtime</t>
  </si>
  <si>
    <t>unixtime наоборот</t>
  </si>
  <si>
    <t>Тип значений наоборот</t>
  </si>
  <si>
    <t>5b090102</t>
  </si>
  <si>
    <t>00</t>
  </si>
  <si>
    <t>5b090103</t>
  </si>
  <si>
    <t>5b090104</t>
  </si>
  <si>
    <t>Управление реле</t>
  </si>
  <si>
    <t>Смещение, сек Команда</t>
  </si>
  <si>
    <t>Конфигуратор Лора-модема</t>
  </si>
  <si>
    <t>Период выхода на связь в часах</t>
  </si>
  <si>
    <t>Период наоборот</t>
  </si>
  <si>
    <t>Пароль</t>
  </si>
  <si>
    <t>Пароль наоборот</t>
  </si>
  <si>
    <t>Флаг разрешения передачи событий</t>
  </si>
  <si>
    <t>Флаг разрешения передачи получасовок</t>
  </si>
  <si>
    <t>Флаг Confirmation</t>
  </si>
  <si>
    <t>Период</t>
  </si>
  <si>
    <t>День недели</t>
  </si>
  <si>
    <t>Месяц</t>
  </si>
  <si>
    <t>Накопление информации о счётчике</t>
  </si>
  <si>
    <t>Накопление энегрии</t>
  </si>
  <si>
    <t>Накопление: мгновенных</t>
  </si>
  <si>
    <t>Период:</t>
  </si>
  <si>
    <t>01020305</t>
  </si>
  <si>
    <t>0002</t>
  </si>
  <si>
    <t>00000020</t>
  </si>
  <si>
    <t>0001</t>
  </si>
  <si>
    <t>003E2EA8</t>
  </si>
  <si>
    <t>0003</t>
  </si>
  <si>
    <t>Изменение режима реле</t>
  </si>
  <si>
    <t>ПАКЕТ</t>
  </si>
  <si>
    <t>Лимит наоборот</t>
  </si>
  <si>
    <t>000026AC</t>
  </si>
  <si>
    <t>Лимит мощности*10</t>
  </si>
  <si>
    <t>0A</t>
  </si>
  <si>
    <t>0001B207</t>
  </si>
  <si>
    <t>02261133</t>
  </si>
  <si>
    <t>Конечны пакет</t>
  </si>
  <si>
    <t>Во вложении файл Excel, который позволит генерировать пакеты для изменения сетевого адреса на счетчике. </t>
  </si>
  <si>
    <t>Небольшая инструкция для работы с данным файлом:</t>
  </si>
  <si>
    <t>1. Для смены адреса необходима работающая сеть, с включенным счетчиком, на котором требуется смена адреса.</t>
  </si>
  <si>
    <t>2. Необходимо перевести в HEX формат сетевой адрес счетчика, в котором установлен модуль Лора. Например возьмем сетевой адрес 29. В HEX он будет соответствовать 1D. Скрин ниже. </t>
  </si>
  <si>
    <t>3. Забить полученный адрес в одну из ячеек из столбца "Адрес". Скрин ниже.</t>
  </si>
  <si>
    <t>4. При вводе адреса в поле "Конечны пакет"(Последнее поле таблицы), корректный пакет генерируется автоматически. Скрин с сгенерированным пакетом ниже.  </t>
  </si>
  <si>
    <t>5. Этот пакет отправляем на счетчик на порт 2. По примеру нашего сервера должно получиться так:</t>
  </si>
  <si>
    <t>6. После всего проделанного необходимо счетчик перезагрузить по питанию.</t>
  </si>
  <si>
    <t>4.1 Запуск ПО IOT Vega Admin Tool V1.1.2_ru</t>
  </si>
  <si>
    <t>Для всех устройств нам доступна кнопка отправки сообщения "Send Data". 
Что-бы отправить какой-либо пакет на устройство необходимо перейти на нужное устройство во вкладке "Devices".</t>
  </si>
  <si>
    <t>При нажатии на указанную кнопку будет выведено окно, которое показано в пункте 5.</t>
  </si>
  <si>
    <t>00000063</t>
  </si>
  <si>
    <t>00000017</t>
  </si>
  <si>
    <t>0963000000010007B201000101010100000100000100000ff0</t>
  </si>
  <si>
    <t>0917000000020007B201000101010200000100000100000ff0</t>
  </si>
  <si>
    <t>По информации от Игоря отправлять нужно в порт 3!!!</t>
  </si>
  <si>
    <t>00000001</t>
  </si>
  <si>
    <t>02010000000ff0</t>
  </si>
  <si>
    <t>209c326ad2573de4c20d670aa82e0a857df83145376fe92999d531308b522f0efa</t>
  </si>
  <si>
    <t>0B</t>
  </si>
  <si>
    <t>0b0ff0</t>
  </si>
  <si>
    <t>9bddf89a07000100010101e8030000ffffffff0100000100000100000ff0</t>
  </si>
  <si>
    <t>Запрос инфо о счетчике</t>
  </si>
  <si>
    <t>1 байт</t>
  </si>
  <si>
    <t>Тип пакета = 2</t>
  </si>
  <si>
    <t>4 байта</t>
  </si>
  <si>
    <t>2 байта</t>
  </si>
  <si>
    <t>UUID = f00f</t>
  </si>
  <si>
    <t>№ эл-сч</t>
  </si>
  <si>
    <t>Зав № сч. = 2600000923</t>
  </si>
  <si>
    <t>9af8dd9b</t>
  </si>
  <si>
    <t>029bddf89a0ff0</t>
  </si>
  <si>
    <t>Дата, время</t>
  </si>
  <si>
    <t>Фаз</t>
  </si>
  <si>
    <t>Тарифов</t>
  </si>
  <si>
    <t>Реле</t>
  </si>
  <si>
    <t>Дата вып.</t>
  </si>
  <si>
    <t>Коэф. Трансф.</t>
  </si>
  <si>
    <t>Версия ПО LoRa-модуля</t>
  </si>
  <si>
    <t>Тек. Пок. Сч.(Вт*ч)</t>
  </si>
  <si>
    <r>
      <t>Температура внутри сч. (</t>
    </r>
    <r>
      <rPr>
        <sz val="11"/>
        <color theme="1"/>
        <rFont val="Calibri"/>
        <family val="2"/>
        <charset val="204"/>
      </rPr>
      <t>°C)</t>
    </r>
  </si>
  <si>
    <t>Тек. Состояние</t>
  </si>
  <si>
    <t>Причина передачи пакета</t>
  </si>
  <si>
    <t>UUID запроса</t>
  </si>
  <si>
    <t>Модель сч.</t>
  </si>
  <si>
    <t>ϕa*100</t>
  </si>
  <si>
    <t>ϕb*100</t>
  </si>
  <si>
    <t>ϕc*100</t>
  </si>
  <si>
    <t>Для пакета 02. Мгновенные значения</t>
  </si>
  <si>
    <t>Для пакета 01. Информация о счетчике</t>
  </si>
  <si>
    <t>Для пакета 03. Прозрачный режим</t>
  </si>
  <si>
    <t>Для пакета 04. Показания счетчика, расширенные по тарифам</t>
  </si>
  <si>
    <t>Для пакета 05. Профиль мощности</t>
  </si>
  <si>
    <t>Акт.тариф</t>
  </si>
  <si>
    <t>Кт</t>
  </si>
  <si>
    <t>Тек.пок.сч.</t>
  </si>
  <si>
    <t>Тариф 1</t>
  </si>
  <si>
    <t>Тариф 2</t>
  </si>
  <si>
    <t>Тариф 3</t>
  </si>
  <si>
    <t>Тариф 4</t>
  </si>
  <si>
    <t>Размер данных, принятых от счетчика</t>
  </si>
  <si>
    <t>Размер передаваемого пакета</t>
  </si>
  <si>
    <t>Порядковый номер передаваемого пакета</t>
  </si>
  <si>
    <t>Данные</t>
  </si>
  <si>
    <t>Кол-во пакетов</t>
  </si>
  <si>
    <t>Время снятия первой получасовки</t>
  </si>
  <si>
    <t>Время снятия показаний</t>
  </si>
  <si>
    <t>Пер. усреднения (мин)</t>
  </si>
  <si>
    <t>Ua*10 (В)</t>
  </si>
  <si>
    <t>Ub*10 (В)</t>
  </si>
  <si>
    <t>Uc*10 (В)</t>
  </si>
  <si>
    <t>Ia*100 (А)</t>
  </si>
  <si>
    <t>Ib*100 (А)</t>
  </si>
  <si>
    <t>Ic*100 (А)</t>
  </si>
  <si>
    <t>Pa (Вт)</t>
  </si>
  <si>
    <t>Pb (Вт)</t>
  </si>
  <si>
    <t>Pc (Вт)</t>
  </si>
  <si>
    <t>Qa (вар)</t>
  </si>
  <si>
    <t>Qb (вар)</t>
  </si>
  <si>
    <t>Qc (вар)</t>
  </si>
  <si>
    <t>Примечание</t>
  </si>
  <si>
    <t>A+ (Вт*ч)</t>
  </si>
  <si>
    <t>A- (Вт*ч)</t>
  </si>
  <si>
    <t>R+ (Вт*ч)</t>
  </si>
  <si>
    <t>R- (Вт*ч)</t>
  </si>
  <si>
    <t>Время снятия второй получасовки</t>
  </si>
  <si>
    <t>Для пакета 06. Квитанция</t>
  </si>
  <si>
    <t>Результат выполнения запроса</t>
  </si>
  <si>
    <t>Сетевой адрес эл-сч</t>
  </si>
  <si>
    <t>Часовой пояс (в минутах)</t>
  </si>
  <si>
    <t>Флаг отправки пакетов с подтверждением</t>
  </si>
  <si>
    <t>Лимит мощности (Вт)</t>
  </si>
  <si>
    <t>Лимит энергии (Вт*ч)</t>
  </si>
  <si>
    <t>Период накопления пакетов с информацией</t>
  </si>
  <si>
    <t>День недели накопления пакетов с информацией</t>
  </si>
  <si>
    <t>День месяца накопления пакетов с информацией</t>
  </si>
  <si>
    <t>Период накопления пакетов с показаниями</t>
  </si>
  <si>
    <t>День недели накопления пакетов с показаниями</t>
  </si>
  <si>
    <t>День месяца накопления пакетов с показаниями</t>
  </si>
  <si>
    <t>Период накопления пакетов с мгновеными значениями</t>
  </si>
  <si>
    <t>День недели накопления пакетов с мгновеными значениями</t>
  </si>
  <si>
    <t>День месяца накопления пакетов с мгновеными значениями</t>
  </si>
  <si>
    <t>Для пакета 08. Корректировка времени</t>
  </si>
  <si>
    <t>Для пакета 07. Текущая конфигурация счетчика</t>
  </si>
  <si>
    <t>04c9dcf89a3011f85cff01ffff060900004e070000b801000000000000000000000000</t>
  </si>
  <si>
    <t>01070000009943e15d0501ff0180436d380b000000fffffa000000210700000014000000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</si>
</sst>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ourier New"/>
      <family val="3"/>
      <charset val="204"/>
    </font>
    <font>
      <sz val="11"/>
      <color theme="1"/>
      <name val="Courier New"/>
      <family val="3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6"/>
      <color rgb="FF9C6500"/>
      <name val="Courier New"/>
      <family val="3"/>
      <charset val="204"/>
    </font>
    <font>
      <sz val="11"/>
      <color rgb="FF000000"/>
      <name val="Arial"/>
      <family val="2"/>
      <charset val="204"/>
    </font>
    <font>
      <sz val="11.5"/>
      <color rgb="FF000000"/>
      <name val="Arial"/>
      <family val="2"/>
      <charset val="204"/>
    </font>
    <font>
      <sz val="10"/>
      <color rgb="FF333333"/>
      <name val="Courier New"/>
      <family val="3"/>
      <charset val="204"/>
    </font>
    <font>
      <sz val="10"/>
      <color theme="1"/>
      <name val="Courier New"/>
      <family val="3"/>
      <charset val="204"/>
    </font>
    <font>
      <sz val="11"/>
      <color theme="1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1"/>
      <name val="Courier New"/>
      <family val="3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DDDDDD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4" fillId="4" borderId="0" applyNumberFormat="0" applyBorder="0" applyAlignment="0" applyProtection="0"/>
    <xf numFmtId="0" fontId="6" fillId="5" borderId="0" applyNumberFormat="0" applyBorder="0" applyAlignment="0" applyProtection="0"/>
  </cellStyleXfs>
  <cellXfs count="70">
    <xf numFmtId="0" fontId="0" fillId="0" borderId="0" xfId="0"/>
    <xf numFmtId="49" fontId="2" fillId="2" borderId="1" xfId="0" applyNumberFormat="1" applyFont="1" applyFill="1" applyBorder="1" applyAlignment="1">
      <alignment horizontal="center"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49" fontId="0" fillId="0" borderId="0" xfId="0" applyNumberFormat="1" applyAlignment="1">
      <alignment vertical="top" wrapText="1"/>
    </xf>
    <xf numFmtId="49" fontId="3" fillId="0" borderId="1" xfId="0" applyNumberFormat="1" applyFont="1" applyBorder="1" applyAlignment="1">
      <alignment horizontal="center" vertical="top" wrapText="1"/>
    </xf>
    <xf numFmtId="0" fontId="3" fillId="2" borderId="1" xfId="0" applyNumberFormat="1" applyFont="1" applyFill="1" applyBorder="1" applyAlignment="1">
      <alignment horizontal="center" vertical="top" wrapText="1"/>
    </xf>
    <xf numFmtId="0" fontId="3" fillId="2" borderId="1" xfId="0" applyNumberFormat="1" applyFont="1" applyFill="1" applyBorder="1" applyAlignment="1">
      <alignment horizontal="right" vertical="top" wrapText="1"/>
    </xf>
    <xf numFmtId="0" fontId="3" fillId="0" borderId="1" xfId="0" applyNumberFormat="1" applyFont="1" applyBorder="1" applyAlignment="1">
      <alignment horizontal="center" vertical="top" wrapText="1"/>
    </xf>
    <xf numFmtId="0" fontId="0" fillId="2" borderId="0" xfId="0" applyNumberFormat="1" applyFill="1" applyAlignment="1">
      <alignment vertical="top" wrapText="1"/>
    </xf>
    <xf numFmtId="49" fontId="0" fillId="2" borderId="0" xfId="0" applyNumberFormat="1" applyFill="1" applyAlignment="1">
      <alignment vertical="top" wrapText="1"/>
    </xf>
    <xf numFmtId="11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vertical="top" wrapText="1"/>
    </xf>
    <xf numFmtId="11" fontId="2" fillId="2" borderId="1" xfId="0" applyNumberFormat="1" applyFont="1" applyFill="1" applyBorder="1" applyAlignment="1">
      <alignment horizontal="center" vertical="top" wrapText="1"/>
    </xf>
    <xf numFmtId="49" fontId="2" fillId="3" borderId="1" xfId="0" applyNumberFormat="1" applyFont="1" applyFill="1" applyBorder="1" applyAlignment="1">
      <alignment horizontal="center" vertical="top" wrapText="1"/>
    </xf>
    <xf numFmtId="49" fontId="3" fillId="3" borderId="1" xfId="0" applyNumberFormat="1" applyFont="1" applyFill="1" applyBorder="1" applyAlignment="1">
      <alignment horizontal="center" vertical="top" wrapText="1"/>
    </xf>
    <xf numFmtId="49" fontId="0" fillId="3" borderId="0" xfId="0" applyNumberFormat="1" applyFill="1" applyAlignment="1">
      <alignment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0" fillId="0" borderId="7" xfId="0" applyFont="1" applyBorder="1" applyAlignment="1">
      <alignment vertical="top" wrapText="1"/>
    </xf>
    <xf numFmtId="0" fontId="0" fillId="0" borderId="12" xfId="0" applyBorder="1" applyAlignment="1">
      <alignment horizontal="left"/>
    </xf>
    <xf numFmtId="14" fontId="0" fillId="0" borderId="12" xfId="0" applyNumberFormat="1" applyBorder="1" applyAlignment="1">
      <alignment horizontal="left"/>
    </xf>
    <xf numFmtId="164" fontId="0" fillId="0" borderId="12" xfId="0" applyNumberFormat="1" applyBorder="1" applyAlignment="1">
      <alignment horizontal="left"/>
    </xf>
    <xf numFmtId="0" fontId="1" fillId="0" borderId="11" xfId="0" applyFont="1" applyBorder="1" applyAlignment="1">
      <alignment horizontal="right"/>
    </xf>
    <xf numFmtId="22" fontId="1" fillId="0" borderId="11" xfId="0" applyNumberFormat="1" applyFont="1" applyBorder="1" applyAlignment="1">
      <alignment horizontal="right"/>
    </xf>
    <xf numFmtId="0" fontId="1" fillId="0" borderId="8" xfId="0" applyFont="1" applyBorder="1" applyAlignment="1"/>
    <xf numFmtId="0" fontId="1" fillId="0" borderId="9" xfId="0" applyFont="1" applyBorder="1" applyAlignment="1"/>
    <xf numFmtId="0" fontId="1" fillId="0" borderId="10" xfId="0" applyFont="1" applyBorder="1" applyAlignment="1"/>
    <xf numFmtId="0" fontId="0" fillId="0" borderId="12" xfId="0" applyBorder="1"/>
    <xf numFmtId="0" fontId="0" fillId="0" borderId="13" xfId="0" applyBorder="1" applyAlignment="1">
      <alignment horizontal="left"/>
    </xf>
    <xf numFmtId="0" fontId="1" fillId="0" borderId="8" xfId="0" applyFont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/>
    <xf numFmtId="0" fontId="1" fillId="0" borderId="0" xfId="0" applyNumberFormat="1" applyFont="1" applyBorder="1" applyAlignment="1">
      <alignment horizontal="right"/>
    </xf>
    <xf numFmtId="0" fontId="0" fillId="0" borderId="11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1" xfId="0" applyFont="1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3" xfId="0" applyBorder="1"/>
    <xf numFmtId="0" fontId="0" fillId="0" borderId="0" xfId="0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16" xfId="0" applyBorder="1" applyAlignment="1">
      <alignment wrapText="1"/>
    </xf>
    <xf numFmtId="0" fontId="1" fillId="0" borderId="11" xfId="0" applyFont="1" applyBorder="1" applyAlignment="1">
      <alignment horizontal="right" wrapText="1"/>
    </xf>
    <xf numFmtId="0" fontId="0" fillId="0" borderId="15" xfId="0" applyBorder="1" applyAlignment="1">
      <alignment horizontal="left"/>
    </xf>
    <xf numFmtId="0" fontId="1" fillId="0" borderId="13" xfId="0" applyFont="1" applyBorder="1" applyAlignment="1">
      <alignment horizontal="right"/>
    </xf>
    <xf numFmtId="0" fontId="11" fillId="6" borderId="0" xfId="0" applyFont="1" applyFill="1"/>
    <xf numFmtId="0" fontId="0" fillId="6" borderId="0" xfId="0" applyFill="1"/>
    <xf numFmtId="0" fontId="11" fillId="0" borderId="0" xfId="0" applyFont="1"/>
    <xf numFmtId="0" fontId="15" fillId="6" borderId="0" xfId="0" applyFont="1" applyFill="1"/>
    <xf numFmtId="49" fontId="0" fillId="0" borderId="0" xfId="0" applyNumberFormat="1" applyAlignment="1">
      <alignment horizontal="center" vertical="top" wrapText="1"/>
    </xf>
    <xf numFmtId="0" fontId="5" fillId="4" borderId="4" xfId="1" applyFont="1" applyBorder="1" applyAlignment="1">
      <alignment horizontal="center"/>
    </xf>
    <xf numFmtId="11" fontId="2" fillId="2" borderId="2" xfId="0" applyNumberFormat="1" applyFont="1" applyFill="1" applyBorder="1" applyAlignment="1">
      <alignment horizontal="center" vertical="top" wrapText="1"/>
    </xf>
    <xf numFmtId="11" fontId="2" fillId="2" borderId="3" xfId="0" applyNumberFormat="1" applyFont="1" applyFill="1" applyBorder="1" applyAlignment="1">
      <alignment horizontal="center" vertical="top" wrapText="1"/>
    </xf>
    <xf numFmtId="49" fontId="7" fillId="5" borderId="0" xfId="2" applyNumberFormat="1" applyFont="1" applyAlignment="1">
      <alignment horizontal="center" vertical="top" wrapText="1"/>
    </xf>
    <xf numFmtId="49" fontId="6" fillId="5" borderId="0" xfId="2" applyNumberFormat="1" applyAlignment="1">
      <alignment horizontal="center" vertical="top" wrapText="1"/>
    </xf>
    <xf numFmtId="49" fontId="6" fillId="5" borderId="5" xfId="2" applyNumberFormat="1" applyBorder="1" applyAlignment="1">
      <alignment horizontal="center" vertical="top" wrapText="1"/>
    </xf>
    <xf numFmtId="0" fontId="2" fillId="2" borderId="2" xfId="0" applyNumberFormat="1" applyFont="1" applyFill="1" applyBorder="1" applyAlignment="1">
      <alignment horizontal="center" vertical="top" wrapText="1"/>
    </xf>
    <xf numFmtId="0" fontId="2" fillId="2" borderId="4" xfId="0" applyNumberFormat="1" applyFont="1" applyFill="1" applyBorder="1" applyAlignment="1">
      <alignment horizontal="center"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7" fillId="5" borderId="6" xfId="2" applyFont="1" applyBorder="1" applyAlignment="1">
      <alignment horizontal="center"/>
    </xf>
    <xf numFmtId="0" fontId="7" fillId="5" borderId="5" xfId="2" applyFont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9" xfId="0" applyFont="1" applyBorder="1" applyAlignment="1">
      <alignment horizontal="left"/>
    </xf>
  </cellXfs>
  <cellStyles count="3">
    <cellStyle name="Нейтральный" xfId="2" builtinId="28"/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7</xdr:row>
      <xdr:rowOff>9525</xdr:rowOff>
    </xdr:from>
    <xdr:to>
      <xdr:col>0</xdr:col>
      <xdr:colOff>2927490</xdr:colOff>
      <xdr:row>21</xdr:row>
      <xdr:rowOff>19050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6" y="1885950"/>
          <a:ext cx="2917964" cy="2676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3362326</xdr:colOff>
      <xdr:row>7</xdr:row>
      <xdr:rowOff>9525</xdr:rowOff>
    </xdr:from>
    <xdr:to>
      <xdr:col>0</xdr:col>
      <xdr:colOff>6269906</xdr:colOff>
      <xdr:row>21</xdr:row>
      <xdr:rowOff>9525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2326" y="1885950"/>
          <a:ext cx="2907580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19050</xdr:rowOff>
    </xdr:from>
    <xdr:to>
      <xdr:col>0</xdr:col>
      <xdr:colOff>5953125</xdr:colOff>
      <xdr:row>39</xdr:row>
      <xdr:rowOff>180975</xdr:rowOff>
    </xdr:to>
    <xdr:pic>
      <xdr:nvPicPr>
        <xdr:cNvPr id="4" name="Рисунок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33975"/>
          <a:ext cx="595312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42</xdr:row>
      <xdr:rowOff>67901</xdr:rowOff>
    </xdr:from>
    <xdr:to>
      <xdr:col>1</xdr:col>
      <xdr:colOff>104775</xdr:colOff>
      <xdr:row>55</xdr:row>
      <xdr:rowOff>161924</xdr:rowOff>
    </xdr:to>
    <xdr:pic>
      <xdr:nvPicPr>
        <xdr:cNvPr id="5" name="Рисунок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8792801"/>
          <a:ext cx="6648450" cy="2570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38100</xdr:rowOff>
    </xdr:from>
    <xdr:to>
      <xdr:col>0</xdr:col>
      <xdr:colOff>2781300</xdr:colOff>
      <xdr:row>96</xdr:row>
      <xdr:rowOff>85725</xdr:rowOff>
    </xdr:to>
    <xdr:pic>
      <xdr:nvPicPr>
        <xdr:cNvPr id="6" name="Рисунок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2781300" cy="328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27570</xdr:rowOff>
    </xdr:from>
    <xdr:to>
      <xdr:col>1</xdr:col>
      <xdr:colOff>19050</xdr:colOff>
      <xdr:row>73</xdr:row>
      <xdr:rowOff>133349</xdr:rowOff>
    </xdr:to>
    <xdr:pic>
      <xdr:nvPicPr>
        <xdr:cNvPr id="7" name="Рисунок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52970"/>
          <a:ext cx="6610350" cy="2391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229"/>
  <sheetViews>
    <sheetView zoomScaleNormal="100" workbookViewId="0">
      <selection activeCell="M4" sqref="M4"/>
    </sheetView>
  </sheetViews>
  <sheetFormatPr defaultRowHeight="15" outlineLevelCol="1" x14ac:dyDescent="0.25"/>
  <cols>
    <col min="1" max="1" width="8.7109375" style="3" customWidth="1"/>
    <col min="2" max="2" width="15.42578125" style="3" customWidth="1"/>
    <col min="3" max="3" width="19.28515625" style="8" customWidth="1" outlineLevel="1"/>
    <col min="4" max="4" width="18.42578125" style="3" customWidth="1"/>
    <col min="5" max="5" width="2.7109375" style="8" hidden="1" customWidth="1" outlineLevel="1"/>
    <col min="6" max="6" width="13.140625" style="8" customWidth="1" outlineLevel="1"/>
    <col min="7" max="7" width="4.28515625" style="8" hidden="1" customWidth="1" outlineLevel="1"/>
    <col min="8" max="8" width="18.5703125" style="8" customWidth="1" outlineLevel="1"/>
    <col min="9" max="9" width="15.42578125" style="8" hidden="1" customWidth="1" outlineLevel="1"/>
    <col min="10" max="10" width="9.140625" style="3"/>
    <col min="11" max="11" width="18.28515625" style="3" customWidth="1"/>
    <col min="12" max="12" width="16" style="15" customWidth="1"/>
    <col min="13" max="13" width="47.7109375" style="9" customWidth="1"/>
    <col min="14" max="14" width="34.140625" style="10" customWidth="1"/>
    <col min="15" max="15" width="37.85546875" style="3" customWidth="1"/>
    <col min="16" max="16384" width="9.140625" style="3"/>
  </cols>
  <sheetData>
    <row r="1" spans="1:14" s="11" customFormat="1" ht="36.75" customHeight="1" x14ac:dyDescent="0.25">
      <c r="A1" s="1" t="s">
        <v>18</v>
      </c>
      <c r="B1" s="1" t="s">
        <v>0</v>
      </c>
      <c r="C1" s="2" t="s">
        <v>13</v>
      </c>
      <c r="D1" s="1" t="s">
        <v>34</v>
      </c>
      <c r="E1" s="2" t="s">
        <v>19</v>
      </c>
      <c r="F1" s="2" t="s">
        <v>25</v>
      </c>
      <c r="G1" s="2" t="s">
        <v>28</v>
      </c>
      <c r="H1" s="2" t="s">
        <v>26</v>
      </c>
      <c r="I1" s="2" t="s">
        <v>27</v>
      </c>
      <c r="J1" s="1" t="s">
        <v>1</v>
      </c>
      <c r="K1" s="1" t="s">
        <v>14</v>
      </c>
      <c r="L1" s="13" t="s">
        <v>15</v>
      </c>
      <c r="M1" s="57" t="s">
        <v>6</v>
      </c>
      <c r="N1" s="58"/>
    </row>
    <row r="2" spans="1:14" s="11" customFormat="1" ht="15.75" x14ac:dyDescent="0.25">
      <c r="A2" s="1" t="s">
        <v>2</v>
      </c>
      <c r="B2" s="1" t="s">
        <v>3</v>
      </c>
      <c r="C2" s="2"/>
      <c r="D2" s="1" t="s">
        <v>4</v>
      </c>
      <c r="E2" s="2"/>
      <c r="F2" s="2"/>
      <c r="G2" s="2"/>
      <c r="H2" s="2"/>
      <c r="I2" s="2"/>
      <c r="J2" s="1" t="s">
        <v>5</v>
      </c>
      <c r="K2" s="1"/>
      <c r="L2" s="13"/>
      <c r="M2" s="1"/>
      <c r="N2" s="12"/>
    </row>
    <row r="3" spans="1:14" ht="18.75" x14ac:dyDescent="0.3">
      <c r="A3" s="56" t="s">
        <v>21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</row>
    <row r="4" spans="1:14" ht="18.75" customHeight="1" x14ac:dyDescent="0.25">
      <c r="A4" s="4" t="s">
        <v>8</v>
      </c>
      <c r="B4" s="4" t="s">
        <v>17</v>
      </c>
      <c r="C4" s="5" t="str">
        <f>Reverse_Word_All(B4)</f>
        <v>32191700</v>
      </c>
      <c r="D4" s="4" t="s">
        <v>52</v>
      </c>
      <c r="E4" s="5" t="str">
        <f>Reverse_Word_All(D4)</f>
        <v>20000000</v>
      </c>
      <c r="F4" s="5"/>
      <c r="G4" s="5"/>
      <c r="H4" s="5"/>
      <c r="I4" s="5"/>
      <c r="J4" s="4" t="s">
        <v>20</v>
      </c>
      <c r="K4" s="7" t="str">
        <f>Reverse_Word_All(J4)</f>
        <v>0ff0</v>
      </c>
      <c r="L4" s="14" t="s">
        <v>16</v>
      </c>
      <c r="M4" s="6" t="str">
        <f>CONCATENATE(A4,L4,C4,L4,E4,L4,K4)</f>
        <v>01 32191700 20000000 0ff0</v>
      </c>
      <c r="N4" s="7" t="str">
        <f>CONCATENATE(A4,C4,E4,K4,)</f>
        <v>0132191700200000000ff0</v>
      </c>
    </row>
    <row r="5" spans="1:14" ht="18.75" x14ac:dyDescent="0.3">
      <c r="A5" s="56" t="s">
        <v>22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</row>
    <row r="6" spans="1:14" x14ac:dyDescent="0.25">
      <c r="A6" s="4" t="s">
        <v>9</v>
      </c>
      <c r="B6" s="4" t="s">
        <v>17</v>
      </c>
      <c r="C6" s="5" t="str">
        <f t="shared" ref="C6:C14" si="0">Reverse_Word_All(B6)</f>
        <v>32191700</v>
      </c>
      <c r="D6" s="4"/>
      <c r="E6" s="5" t="str">
        <f t="shared" ref="E6:E14" si="1">Reverse_Word_All(D6)</f>
        <v/>
      </c>
      <c r="F6" s="5"/>
      <c r="G6" s="5"/>
      <c r="H6" s="5"/>
      <c r="I6" s="5"/>
      <c r="J6" s="4" t="s">
        <v>20</v>
      </c>
      <c r="K6" s="7" t="str">
        <f t="shared" ref="K6:K14" si="2">Reverse_Word_All(J6)</f>
        <v>0ff0</v>
      </c>
      <c r="L6" s="14" t="s">
        <v>16</v>
      </c>
      <c r="M6" s="6" t="str">
        <f>CONCATENATE(A6,L6,C6,L6,K6,L6)</f>
        <v xml:space="preserve">02 32191700 0ff0 </v>
      </c>
      <c r="N6" s="7" t="str">
        <f>CONCATENATE(A6,C6,E6,K6,)</f>
        <v>02321917000ff0</v>
      </c>
    </row>
    <row r="7" spans="1:14" ht="15" customHeight="1" x14ac:dyDescent="0.3">
      <c r="A7" s="56" t="s">
        <v>23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</row>
    <row r="8" spans="1:14" x14ac:dyDescent="0.25">
      <c r="A8" s="4" t="s">
        <v>10</v>
      </c>
      <c r="B8" s="4" t="s">
        <v>17</v>
      </c>
      <c r="C8" s="5" t="str">
        <f t="shared" si="0"/>
        <v>32191700</v>
      </c>
      <c r="D8" s="4"/>
      <c r="E8" s="5" t="str">
        <f t="shared" si="1"/>
        <v/>
      </c>
      <c r="F8" s="5"/>
      <c r="G8" s="5"/>
      <c r="H8" s="5"/>
      <c r="I8" s="5"/>
      <c r="J8" s="4" t="s">
        <v>20</v>
      </c>
      <c r="K8" s="7" t="str">
        <f t="shared" si="2"/>
        <v>0ff0</v>
      </c>
      <c r="L8" s="14" t="s">
        <v>16</v>
      </c>
      <c r="M8" s="6" t="str">
        <f>CONCATENATE(A8,L8,C8,L8,K8,L8,)</f>
        <v xml:space="preserve">03 32191700 0ff0 </v>
      </c>
      <c r="N8" s="7" t="str">
        <f>CONCATENATE(A8,C8,E8,K8,)</f>
        <v>03321917000ff0</v>
      </c>
    </row>
    <row r="9" spans="1:14" ht="21" customHeight="1" x14ac:dyDescent="0.3">
      <c r="A9" s="56" t="s">
        <v>24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 ht="21" customHeight="1" x14ac:dyDescent="0.25">
      <c r="A10" s="4" t="s">
        <v>11</v>
      </c>
      <c r="B10" s="4" t="s">
        <v>17</v>
      </c>
      <c r="C10" s="5" t="str">
        <f>Reverse_Word_All(B10)</f>
        <v>32191700</v>
      </c>
      <c r="D10" s="4"/>
      <c r="E10" s="5" t="str">
        <f>Reverse_Word_All(D10)</f>
        <v/>
      </c>
      <c r="F10" s="16" t="s">
        <v>30</v>
      </c>
      <c r="G10" s="5" t="str">
        <f>Reverse_Word_All(F10)</f>
        <v>00</v>
      </c>
      <c r="H10" s="5" t="s">
        <v>29</v>
      </c>
      <c r="I10" s="5" t="str">
        <f>Reverse_Word_All(H10)</f>
        <v>0201095b</v>
      </c>
      <c r="J10" s="4" t="s">
        <v>20</v>
      </c>
      <c r="K10" s="7" t="str">
        <f>Reverse_Word_All(J10)</f>
        <v>0ff0</v>
      </c>
      <c r="L10" s="14" t="s">
        <v>16</v>
      </c>
      <c r="M10" s="6" t="str">
        <f>CONCATENATE(A10,L10,C10,L10,G10,L10,I10,L10,K10)</f>
        <v>05 32191700 00 0201095b 0ff0</v>
      </c>
      <c r="N10" s="7" t="str">
        <f>CONCATENATE(A10,C10,G10,I10,E10,K10)</f>
        <v>0532191700000201095b0ff0</v>
      </c>
    </row>
    <row r="11" spans="1:14" ht="18" customHeight="1" x14ac:dyDescent="0.25">
      <c r="A11" s="4" t="s">
        <v>11</v>
      </c>
      <c r="B11" s="4" t="s">
        <v>17</v>
      </c>
      <c r="C11" s="5" t="str">
        <f t="shared" ref="C11:C12" si="3">Reverse_Word_All(B11)</f>
        <v>32191700</v>
      </c>
      <c r="D11" s="4"/>
      <c r="E11" s="5" t="str">
        <f t="shared" ref="E11:E12" si="4">Reverse_Word_All(D11)</f>
        <v/>
      </c>
      <c r="F11" s="16" t="s">
        <v>8</v>
      </c>
      <c r="G11" s="5" t="str">
        <f t="shared" ref="G11:G12" si="5">Reverse_Word_All(F11)</f>
        <v>01</v>
      </c>
      <c r="H11" s="5" t="s">
        <v>31</v>
      </c>
      <c r="I11" s="5" t="str">
        <f t="shared" ref="I11:I12" si="6">Reverse_Word_All(H11)</f>
        <v>0301095b</v>
      </c>
      <c r="J11" s="4" t="s">
        <v>20</v>
      </c>
      <c r="K11" s="7" t="str">
        <f t="shared" ref="K11:K12" si="7">Reverse_Word_All(J11)</f>
        <v>0ff0</v>
      </c>
      <c r="L11" s="14" t="s">
        <v>16</v>
      </c>
      <c r="M11" s="6" t="str">
        <f t="shared" ref="M11:M12" si="8">CONCATENATE(A11,L11,C11,L11,G11,L11,I11,L11,K11)</f>
        <v>05 32191700 01 0301095b 0ff0</v>
      </c>
      <c r="N11" s="7" t="str">
        <f t="shared" ref="N11:N12" si="9">CONCATENATE(A11,C11,G11,I11,E11,K11)</f>
        <v>0532191700010301095b0ff0</v>
      </c>
    </row>
    <row r="12" spans="1:14" x14ac:dyDescent="0.25">
      <c r="A12" s="4" t="s">
        <v>11</v>
      </c>
      <c r="B12" s="4" t="s">
        <v>17</v>
      </c>
      <c r="C12" s="5" t="str">
        <f t="shared" si="3"/>
        <v>32191700</v>
      </c>
      <c r="D12" s="4"/>
      <c r="E12" s="5" t="str">
        <f t="shared" si="4"/>
        <v/>
      </c>
      <c r="F12" s="16" t="s">
        <v>9</v>
      </c>
      <c r="G12" s="5" t="str">
        <f t="shared" si="5"/>
        <v>02</v>
      </c>
      <c r="H12" s="5" t="s">
        <v>32</v>
      </c>
      <c r="I12" s="5" t="str">
        <f t="shared" si="6"/>
        <v>0401095b</v>
      </c>
      <c r="J12" s="4" t="s">
        <v>20</v>
      </c>
      <c r="K12" s="7" t="str">
        <f t="shared" si="7"/>
        <v>0ff0</v>
      </c>
      <c r="L12" s="14" t="s">
        <v>16</v>
      </c>
      <c r="M12" s="6" t="str">
        <f t="shared" si="8"/>
        <v>05 32191700 02 0401095b 0ff0</v>
      </c>
      <c r="N12" s="7" t="str">
        <f t="shared" si="9"/>
        <v>0532191700020401095b0ff0</v>
      </c>
    </row>
    <row r="13" spans="1:14" ht="18.75" x14ac:dyDescent="0.3">
      <c r="A13" s="56" t="s">
        <v>33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 ht="30" x14ac:dyDescent="0.25">
      <c r="A14" s="4" t="s">
        <v>12</v>
      </c>
      <c r="B14" s="4" t="s">
        <v>17</v>
      </c>
      <c r="C14" s="5" t="str">
        <f t="shared" si="0"/>
        <v>32191700</v>
      </c>
      <c r="D14" s="4" t="s">
        <v>8</v>
      </c>
      <c r="E14" s="5" t="str">
        <f t="shared" si="1"/>
        <v>01</v>
      </c>
      <c r="F14" s="5"/>
      <c r="G14" s="5"/>
      <c r="H14" s="5"/>
      <c r="I14" s="5"/>
      <c r="J14" s="4" t="s">
        <v>20</v>
      </c>
      <c r="K14" s="7" t="str">
        <f t="shared" si="2"/>
        <v>0ff0</v>
      </c>
      <c r="L14" s="14" t="s">
        <v>16</v>
      </c>
      <c r="M14" s="6" t="str">
        <f>CONCATENATE(A14,L14,C14,L14,E14,L14,K14)</f>
        <v>06 32191700 01 0ff0</v>
      </c>
      <c r="N14" s="7" t="str">
        <f>CONCATENATE(A14,C14,E14,K14,)</f>
        <v>0632191700010ff0</v>
      </c>
    </row>
    <row r="15" spans="1:14" ht="30" x14ac:dyDescent="0.25">
      <c r="A15" s="4" t="s">
        <v>12</v>
      </c>
      <c r="B15" s="4" t="s">
        <v>17</v>
      </c>
      <c r="C15" s="5" t="str">
        <f t="shared" ref="C15" si="10">Reverse_Word_All(B15)</f>
        <v>32191700</v>
      </c>
      <c r="D15" s="4" t="s">
        <v>9</v>
      </c>
      <c r="E15" s="5" t="str">
        <f t="shared" ref="E15" si="11">Reverse_Word_All(D15)</f>
        <v>02</v>
      </c>
      <c r="F15" s="5"/>
      <c r="G15" s="5"/>
      <c r="H15" s="5"/>
      <c r="I15" s="5"/>
      <c r="J15" s="4" t="s">
        <v>20</v>
      </c>
      <c r="K15" s="7" t="str">
        <f t="shared" ref="K15" si="12">Reverse_Word_All(J15)</f>
        <v>0ff0</v>
      </c>
      <c r="L15" s="14" t="s">
        <v>16</v>
      </c>
      <c r="M15" s="6" t="str">
        <f>CONCATENATE(A15,L15,C15,L15,E15,L15,K15)</f>
        <v>06 32191700 02 0ff0</v>
      </c>
      <c r="N15" s="7" t="str">
        <f>CONCATENATE(A15,C15,E15,K15,)</f>
        <v>0632191700020ff0</v>
      </c>
    </row>
    <row r="16" spans="1:14" x14ac:dyDescent="0.25">
      <c r="C16" s="3"/>
      <c r="E16" s="3"/>
      <c r="F16" s="3"/>
      <c r="G16" s="3"/>
      <c r="H16" s="3"/>
      <c r="I16" s="3"/>
      <c r="L16" s="3"/>
      <c r="M16" s="3"/>
      <c r="N16" s="3"/>
    </row>
    <row r="17" spans="1:15" x14ac:dyDescent="0.25">
      <c r="A17" s="4" t="s">
        <v>9</v>
      </c>
      <c r="B17" s="4" t="s">
        <v>81</v>
      </c>
      <c r="C17" s="5" t="str">
        <f t="shared" ref="C17" si="13">Reverse_Word_All(B17)</f>
        <v>01000000</v>
      </c>
      <c r="D17" s="4"/>
      <c r="E17" s="5" t="str">
        <f t="shared" ref="E17" si="14">Reverse_Word_All(D17)</f>
        <v/>
      </c>
      <c r="F17" s="5"/>
      <c r="G17" s="5"/>
      <c r="H17" s="5"/>
      <c r="I17" s="5"/>
      <c r="J17" s="4" t="s">
        <v>20</v>
      </c>
      <c r="K17" s="7" t="str">
        <f t="shared" ref="K17" si="15">Reverse_Word_All(J17)</f>
        <v>0ff0</v>
      </c>
      <c r="L17" s="14" t="s">
        <v>16</v>
      </c>
      <c r="M17" s="6" t="str">
        <f>CONCATENATE(A17,L17,C17,L17,K17,L17)</f>
        <v xml:space="preserve">02 01000000 0ff0 </v>
      </c>
      <c r="N17" s="7" t="str">
        <f>CONCATENATE(A17,C17,E17,K17,)</f>
        <v>02010000000ff0</v>
      </c>
      <c r="O17" s="3" t="s">
        <v>82</v>
      </c>
    </row>
    <row r="18" spans="1:15" x14ac:dyDescent="0.25">
      <c r="F18"/>
      <c r="G18"/>
      <c r="H18"/>
      <c r="I18"/>
      <c r="J18"/>
      <c r="K18"/>
      <c r="L18"/>
      <c r="M18"/>
    </row>
    <row r="19" spans="1:15" x14ac:dyDescent="0.25">
      <c r="A19" s="3" t="s">
        <v>84</v>
      </c>
      <c r="F19"/>
      <c r="G19"/>
      <c r="H19"/>
      <c r="I19"/>
      <c r="J19"/>
      <c r="K19"/>
      <c r="L19"/>
      <c r="M19"/>
      <c r="O19" s="3" t="s">
        <v>85</v>
      </c>
    </row>
    <row r="20" spans="1:15" x14ac:dyDescent="0.25">
      <c r="F20"/>
      <c r="G20"/>
      <c r="H20"/>
      <c r="I20"/>
      <c r="J20"/>
      <c r="K20"/>
      <c r="L20"/>
      <c r="M20"/>
    </row>
    <row r="21" spans="1:15" ht="18.75" customHeight="1" x14ac:dyDescent="0.25">
      <c r="A21" s="55" t="s">
        <v>87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/>
      <c r="M21"/>
    </row>
    <row r="22" spans="1:15" x14ac:dyDescent="0.25">
      <c r="F22"/>
      <c r="G22"/>
      <c r="H22"/>
      <c r="I22"/>
      <c r="J22"/>
      <c r="K22"/>
      <c r="L22"/>
      <c r="M22"/>
    </row>
    <row r="23" spans="1:15" x14ac:dyDescent="0.25">
      <c r="A23" s="3" t="s">
        <v>88</v>
      </c>
      <c r="B23" s="3" t="s">
        <v>89</v>
      </c>
      <c r="F23"/>
      <c r="G23"/>
      <c r="H23"/>
      <c r="I23"/>
      <c r="J23"/>
      <c r="K23"/>
      <c r="L23"/>
      <c r="M23"/>
    </row>
    <row r="24" spans="1:15" ht="30" x14ac:dyDescent="0.25">
      <c r="A24" s="3" t="s">
        <v>90</v>
      </c>
      <c r="B24" s="3" t="s">
        <v>94</v>
      </c>
      <c r="F24"/>
      <c r="G24"/>
      <c r="H24"/>
      <c r="I24"/>
      <c r="J24"/>
      <c r="K24"/>
      <c r="L24"/>
      <c r="M24"/>
    </row>
    <row r="25" spans="1:15" x14ac:dyDescent="0.25">
      <c r="A25" s="3" t="s">
        <v>91</v>
      </c>
      <c r="B25" s="3" t="s">
        <v>92</v>
      </c>
      <c r="F25"/>
      <c r="G25"/>
      <c r="H25"/>
      <c r="I25"/>
      <c r="J25"/>
      <c r="K25"/>
      <c r="L25"/>
      <c r="M25"/>
    </row>
    <row r="26" spans="1:15" x14ac:dyDescent="0.25">
      <c r="F26"/>
      <c r="G26"/>
      <c r="H26"/>
      <c r="I26"/>
      <c r="J26"/>
      <c r="K26"/>
      <c r="L26"/>
      <c r="M26"/>
    </row>
    <row r="27" spans="1:15" ht="18.75" customHeight="1" x14ac:dyDescent="0.25">
      <c r="A27" s="4" t="s">
        <v>9</v>
      </c>
      <c r="B27" s="4" t="s">
        <v>95</v>
      </c>
      <c r="C27" s="5" t="str">
        <f>Reverse_Word_All(B27)</f>
        <v>9bddf89a</v>
      </c>
      <c r="D27" s="4"/>
      <c r="E27" s="5" t="str">
        <f>Reverse_Word_All(D27)</f>
        <v/>
      </c>
      <c r="F27" s="5"/>
      <c r="G27" s="5"/>
      <c r="H27" s="5"/>
      <c r="I27" s="5"/>
      <c r="J27" s="4" t="s">
        <v>20</v>
      </c>
      <c r="K27" s="7" t="str">
        <f>Reverse_Word_All(J27)</f>
        <v>0ff0</v>
      </c>
      <c r="L27" s="14" t="s">
        <v>16</v>
      </c>
      <c r="M27" s="6" t="str">
        <f>CONCATENATE(A27,L27,C27,L27,E27,L27,K27)</f>
        <v>02 9bddf89a  0ff0</v>
      </c>
      <c r="N27" s="7" t="str">
        <f>CONCATENATE(A27,C27,E27,K27,)</f>
        <v>029bddf89a0ff0</v>
      </c>
      <c r="O27" s="3" t="s">
        <v>96</v>
      </c>
    </row>
    <row r="28" spans="1:15" x14ac:dyDescent="0.25">
      <c r="F28"/>
      <c r="G28"/>
      <c r="H28"/>
      <c r="I28"/>
      <c r="J28"/>
      <c r="K28"/>
      <c r="L28"/>
      <c r="M28"/>
    </row>
    <row r="29" spans="1:15" x14ac:dyDescent="0.25">
      <c r="F29"/>
      <c r="G29"/>
      <c r="H29"/>
      <c r="I29"/>
      <c r="J29"/>
      <c r="K29"/>
      <c r="L29"/>
      <c r="M29"/>
    </row>
    <row r="30" spans="1:15" x14ac:dyDescent="0.25">
      <c r="F30"/>
      <c r="G30"/>
      <c r="H30"/>
      <c r="I30"/>
      <c r="J30"/>
      <c r="K30"/>
      <c r="L30"/>
      <c r="M30"/>
    </row>
    <row r="31" spans="1:15" x14ac:dyDescent="0.25">
      <c r="F31"/>
      <c r="G31"/>
      <c r="H31"/>
      <c r="I31"/>
      <c r="J31"/>
      <c r="K31"/>
      <c r="L31"/>
      <c r="M31"/>
    </row>
    <row r="32" spans="1:15" x14ac:dyDescent="0.25">
      <c r="F32"/>
      <c r="G32"/>
      <c r="H32"/>
      <c r="I32"/>
      <c r="J32"/>
      <c r="K32"/>
      <c r="L32"/>
      <c r="M32"/>
    </row>
    <row r="33" spans="6:13" x14ac:dyDescent="0.25">
      <c r="F33"/>
      <c r="G33"/>
      <c r="H33"/>
      <c r="I33"/>
      <c r="J33"/>
      <c r="K33"/>
      <c r="L33"/>
      <c r="M33"/>
    </row>
    <row r="34" spans="6:13" x14ac:dyDescent="0.25">
      <c r="F34"/>
      <c r="G34"/>
      <c r="H34"/>
      <c r="L34"/>
      <c r="M34"/>
    </row>
    <row r="35" spans="6:13" x14ac:dyDescent="0.25">
      <c r="F35"/>
      <c r="G35"/>
      <c r="H35"/>
      <c r="L35"/>
      <c r="M35"/>
    </row>
    <row r="36" spans="6:13" x14ac:dyDescent="0.25">
      <c r="F36"/>
      <c r="G36"/>
      <c r="H36"/>
      <c r="L36"/>
      <c r="M36"/>
    </row>
    <row r="37" spans="6:13" x14ac:dyDescent="0.25">
      <c r="F37"/>
      <c r="G37"/>
      <c r="H37"/>
      <c r="L37"/>
      <c r="M37"/>
    </row>
    <row r="38" spans="6:13" x14ac:dyDescent="0.25">
      <c r="F38"/>
      <c r="G38"/>
      <c r="H38"/>
      <c r="L38"/>
      <c r="M38"/>
    </row>
    <row r="39" spans="6:13" x14ac:dyDescent="0.25">
      <c r="F39"/>
      <c r="G39"/>
      <c r="H39"/>
      <c r="L39"/>
      <c r="M39"/>
    </row>
    <row r="40" spans="6:13" x14ac:dyDescent="0.25">
      <c r="F40"/>
      <c r="G40"/>
      <c r="H40"/>
      <c r="L40"/>
      <c r="M40"/>
    </row>
    <row r="41" spans="6:13" x14ac:dyDescent="0.25">
      <c r="F41"/>
      <c r="G41"/>
      <c r="H41"/>
      <c r="L41"/>
      <c r="M41"/>
    </row>
    <row r="42" spans="6:13" x14ac:dyDescent="0.25">
      <c r="F42"/>
      <c r="G42"/>
      <c r="H42"/>
      <c r="L42"/>
      <c r="M42"/>
    </row>
    <row r="43" spans="6:13" x14ac:dyDescent="0.25">
      <c r="F43"/>
      <c r="G43"/>
      <c r="H43"/>
      <c r="L43"/>
      <c r="M43"/>
    </row>
    <row r="44" spans="6:13" x14ac:dyDescent="0.25">
      <c r="F44"/>
      <c r="G44"/>
      <c r="H44"/>
      <c r="L44"/>
      <c r="M44"/>
    </row>
    <row r="45" spans="6:13" x14ac:dyDescent="0.25">
      <c r="F45"/>
      <c r="G45"/>
      <c r="H45"/>
      <c r="L45"/>
      <c r="M45"/>
    </row>
    <row r="46" spans="6:13" x14ac:dyDescent="0.25">
      <c r="F46"/>
      <c r="G46"/>
      <c r="H46"/>
      <c r="L46"/>
      <c r="M46"/>
    </row>
    <row r="47" spans="6:13" x14ac:dyDescent="0.25">
      <c r="F47"/>
      <c r="G47"/>
      <c r="H47"/>
      <c r="L47"/>
      <c r="M47"/>
    </row>
    <row r="48" spans="6:13" x14ac:dyDescent="0.25">
      <c r="F48"/>
      <c r="G48"/>
      <c r="H48"/>
      <c r="L48"/>
      <c r="M48"/>
    </row>
    <row r="49" spans="6:13" x14ac:dyDescent="0.25">
      <c r="F49"/>
      <c r="G49"/>
      <c r="H49"/>
      <c r="L49"/>
      <c r="M49"/>
    </row>
    <row r="50" spans="6:13" x14ac:dyDescent="0.25">
      <c r="F50"/>
      <c r="G50"/>
      <c r="H50"/>
      <c r="L50"/>
      <c r="M50"/>
    </row>
    <row r="51" spans="6:13" x14ac:dyDescent="0.25">
      <c r="F51"/>
      <c r="G51"/>
      <c r="H51"/>
      <c r="L51"/>
      <c r="M51"/>
    </row>
    <row r="52" spans="6:13" x14ac:dyDescent="0.25">
      <c r="F52"/>
      <c r="G52"/>
      <c r="H52"/>
      <c r="L52"/>
      <c r="M52"/>
    </row>
    <row r="53" spans="6:13" x14ac:dyDescent="0.25">
      <c r="F53"/>
      <c r="G53"/>
      <c r="H53"/>
      <c r="L53"/>
      <c r="M53"/>
    </row>
    <row r="54" spans="6:13" x14ac:dyDescent="0.25">
      <c r="F54"/>
      <c r="G54"/>
      <c r="H54"/>
      <c r="L54"/>
      <c r="M54"/>
    </row>
    <row r="55" spans="6:13" x14ac:dyDescent="0.25">
      <c r="F55"/>
      <c r="G55"/>
      <c r="H55"/>
      <c r="L55"/>
      <c r="M55"/>
    </row>
    <row r="56" spans="6:13" x14ac:dyDescent="0.25">
      <c r="F56"/>
      <c r="G56"/>
      <c r="H56"/>
      <c r="L56"/>
      <c r="M56"/>
    </row>
    <row r="57" spans="6:13" x14ac:dyDescent="0.25">
      <c r="F57"/>
      <c r="G57"/>
      <c r="H57"/>
      <c r="L57"/>
      <c r="M57"/>
    </row>
    <row r="58" spans="6:13" x14ac:dyDescent="0.25">
      <c r="F58"/>
      <c r="G58"/>
      <c r="H58"/>
      <c r="L58"/>
      <c r="M58"/>
    </row>
    <row r="59" spans="6:13" x14ac:dyDescent="0.25">
      <c r="F59"/>
      <c r="G59"/>
      <c r="H59"/>
      <c r="L59"/>
      <c r="M59"/>
    </row>
    <row r="60" spans="6:13" x14ac:dyDescent="0.25">
      <c r="F60"/>
      <c r="G60"/>
      <c r="H60"/>
      <c r="L60"/>
      <c r="M60"/>
    </row>
    <row r="61" spans="6:13" x14ac:dyDescent="0.25">
      <c r="F61"/>
      <c r="G61"/>
      <c r="H61"/>
      <c r="L61"/>
      <c r="M61"/>
    </row>
    <row r="62" spans="6:13" x14ac:dyDescent="0.25">
      <c r="F62"/>
      <c r="G62"/>
      <c r="H62"/>
      <c r="L62"/>
      <c r="M62"/>
    </row>
    <row r="63" spans="6:13" x14ac:dyDescent="0.25">
      <c r="F63"/>
      <c r="G63"/>
      <c r="H63"/>
      <c r="L63"/>
      <c r="M63"/>
    </row>
    <row r="64" spans="6:13" x14ac:dyDescent="0.25">
      <c r="F64"/>
      <c r="G64"/>
      <c r="H64"/>
      <c r="L64"/>
      <c r="M64"/>
    </row>
    <row r="65" spans="6:13" x14ac:dyDescent="0.25">
      <c r="F65"/>
      <c r="G65"/>
      <c r="H65"/>
      <c r="L65"/>
      <c r="M65"/>
    </row>
    <row r="66" spans="6:13" x14ac:dyDescent="0.25">
      <c r="F66"/>
      <c r="G66"/>
      <c r="H66"/>
      <c r="L66"/>
      <c r="M66"/>
    </row>
    <row r="67" spans="6:13" x14ac:dyDescent="0.25">
      <c r="F67"/>
      <c r="G67"/>
      <c r="H67"/>
      <c r="L67"/>
      <c r="M67"/>
    </row>
    <row r="68" spans="6:13" x14ac:dyDescent="0.25">
      <c r="F68"/>
      <c r="G68"/>
      <c r="H68"/>
      <c r="L68"/>
      <c r="M68"/>
    </row>
    <row r="69" spans="6:13" x14ac:dyDescent="0.25">
      <c r="F69"/>
      <c r="G69"/>
      <c r="H69"/>
      <c r="L69"/>
      <c r="M69"/>
    </row>
    <row r="70" spans="6:13" x14ac:dyDescent="0.25">
      <c r="F70"/>
      <c r="G70"/>
      <c r="H70"/>
      <c r="L70"/>
      <c r="M70"/>
    </row>
    <row r="71" spans="6:13" x14ac:dyDescent="0.25">
      <c r="F71"/>
      <c r="G71"/>
      <c r="H71"/>
      <c r="L71"/>
      <c r="M71"/>
    </row>
    <row r="72" spans="6:13" x14ac:dyDescent="0.25">
      <c r="F72"/>
      <c r="G72"/>
      <c r="H72"/>
      <c r="L72"/>
      <c r="M72"/>
    </row>
    <row r="73" spans="6:13" x14ac:dyDescent="0.25">
      <c r="F73"/>
      <c r="G73"/>
      <c r="H73"/>
      <c r="L73"/>
      <c r="M73"/>
    </row>
    <row r="74" spans="6:13" x14ac:dyDescent="0.25">
      <c r="F74"/>
      <c r="G74"/>
      <c r="H74"/>
      <c r="L74"/>
      <c r="M74"/>
    </row>
    <row r="75" spans="6:13" x14ac:dyDescent="0.25">
      <c r="F75"/>
      <c r="G75"/>
      <c r="H75"/>
      <c r="L75"/>
      <c r="M75"/>
    </row>
    <row r="76" spans="6:13" x14ac:dyDescent="0.25">
      <c r="F76"/>
      <c r="G76"/>
      <c r="H76"/>
      <c r="L76"/>
      <c r="M76"/>
    </row>
    <row r="77" spans="6:13" x14ac:dyDescent="0.25">
      <c r="F77"/>
      <c r="G77"/>
      <c r="H77"/>
      <c r="L77"/>
      <c r="M77"/>
    </row>
    <row r="78" spans="6:13" x14ac:dyDescent="0.25">
      <c r="F78"/>
      <c r="G78"/>
      <c r="H78"/>
      <c r="L78"/>
      <c r="M78"/>
    </row>
    <row r="79" spans="6:13" x14ac:dyDescent="0.25">
      <c r="F79"/>
      <c r="G79"/>
      <c r="H79"/>
      <c r="L79"/>
      <c r="M79"/>
    </row>
    <row r="80" spans="6:13" x14ac:dyDescent="0.25">
      <c r="F80"/>
      <c r="G80"/>
      <c r="H80"/>
      <c r="L80"/>
      <c r="M80"/>
    </row>
    <row r="81" spans="6:13" x14ac:dyDescent="0.25">
      <c r="F81"/>
      <c r="G81"/>
      <c r="H81"/>
      <c r="L81"/>
      <c r="M81"/>
    </row>
    <row r="82" spans="6:13" x14ac:dyDescent="0.25">
      <c r="F82"/>
      <c r="G82"/>
      <c r="H82"/>
      <c r="L82"/>
      <c r="M82"/>
    </row>
    <row r="83" spans="6:13" x14ac:dyDescent="0.25">
      <c r="F83"/>
      <c r="G83"/>
      <c r="H83"/>
      <c r="L83"/>
      <c r="M83"/>
    </row>
    <row r="84" spans="6:13" x14ac:dyDescent="0.25">
      <c r="F84"/>
      <c r="G84"/>
      <c r="H84"/>
      <c r="L84"/>
      <c r="M84"/>
    </row>
    <row r="85" spans="6:13" x14ac:dyDescent="0.25">
      <c r="F85"/>
      <c r="G85"/>
      <c r="H85"/>
      <c r="L85"/>
      <c r="M85"/>
    </row>
    <row r="86" spans="6:13" x14ac:dyDescent="0.25">
      <c r="F86"/>
      <c r="G86"/>
      <c r="H86"/>
      <c r="L86"/>
      <c r="M86"/>
    </row>
    <row r="87" spans="6:13" x14ac:dyDescent="0.25">
      <c r="F87"/>
      <c r="G87"/>
      <c r="H87"/>
      <c r="L87"/>
      <c r="M87"/>
    </row>
    <row r="88" spans="6:13" x14ac:dyDescent="0.25">
      <c r="F88"/>
      <c r="G88"/>
      <c r="H88"/>
      <c r="L88"/>
      <c r="M88"/>
    </row>
    <row r="89" spans="6:13" x14ac:dyDescent="0.25">
      <c r="F89"/>
      <c r="G89"/>
      <c r="H89"/>
      <c r="L89"/>
      <c r="M89"/>
    </row>
    <row r="90" spans="6:13" x14ac:dyDescent="0.25">
      <c r="F90"/>
      <c r="G90"/>
      <c r="H90"/>
      <c r="L90"/>
      <c r="M90"/>
    </row>
    <row r="91" spans="6:13" x14ac:dyDescent="0.25">
      <c r="F91"/>
      <c r="G91"/>
      <c r="H91"/>
      <c r="L91"/>
      <c r="M91"/>
    </row>
    <row r="92" spans="6:13" x14ac:dyDescent="0.25">
      <c r="F92"/>
      <c r="G92"/>
      <c r="H92"/>
      <c r="L92"/>
      <c r="M92"/>
    </row>
    <row r="93" spans="6:13" x14ac:dyDescent="0.25">
      <c r="F93"/>
      <c r="G93"/>
      <c r="H93"/>
      <c r="L93"/>
      <c r="M93"/>
    </row>
    <row r="94" spans="6:13" x14ac:dyDescent="0.25">
      <c r="F94"/>
      <c r="G94"/>
      <c r="H94"/>
      <c r="L94"/>
      <c r="M94"/>
    </row>
    <row r="95" spans="6:13" x14ac:dyDescent="0.25">
      <c r="F95"/>
      <c r="G95"/>
      <c r="H95"/>
      <c r="L95"/>
      <c r="M95"/>
    </row>
    <row r="96" spans="6:13" x14ac:dyDescent="0.25">
      <c r="F96"/>
      <c r="G96"/>
      <c r="H96"/>
      <c r="L96"/>
      <c r="M96"/>
    </row>
    <row r="97" spans="6:13" x14ac:dyDescent="0.25">
      <c r="F97"/>
      <c r="G97"/>
      <c r="H97"/>
      <c r="L97"/>
      <c r="M97"/>
    </row>
    <row r="98" spans="6:13" x14ac:dyDescent="0.25">
      <c r="F98"/>
      <c r="G98"/>
      <c r="H98"/>
      <c r="L98"/>
      <c r="M98"/>
    </row>
    <row r="99" spans="6:13" x14ac:dyDescent="0.25">
      <c r="F99"/>
      <c r="G99"/>
      <c r="H99"/>
      <c r="L99"/>
      <c r="M99"/>
    </row>
    <row r="100" spans="6:13" x14ac:dyDescent="0.25">
      <c r="F100"/>
      <c r="G100"/>
      <c r="H100"/>
      <c r="L100"/>
      <c r="M100"/>
    </row>
    <row r="101" spans="6:13" x14ac:dyDescent="0.25">
      <c r="F101"/>
      <c r="G101"/>
      <c r="H101"/>
      <c r="L101"/>
      <c r="M101"/>
    </row>
    <row r="102" spans="6:13" x14ac:dyDescent="0.25">
      <c r="F102"/>
      <c r="G102"/>
      <c r="H102"/>
      <c r="L102"/>
      <c r="M102"/>
    </row>
    <row r="103" spans="6:13" x14ac:dyDescent="0.25">
      <c r="F103"/>
      <c r="G103"/>
      <c r="H103"/>
      <c r="L103"/>
      <c r="M103"/>
    </row>
    <row r="104" spans="6:13" x14ac:dyDescent="0.25">
      <c r="F104"/>
      <c r="G104"/>
      <c r="H104"/>
      <c r="L104"/>
      <c r="M104"/>
    </row>
    <row r="105" spans="6:13" x14ac:dyDescent="0.25">
      <c r="F105"/>
      <c r="G105"/>
      <c r="H105"/>
      <c r="L105"/>
      <c r="M105"/>
    </row>
    <row r="106" spans="6:13" x14ac:dyDescent="0.25">
      <c r="F106"/>
      <c r="G106"/>
      <c r="H106"/>
      <c r="L106"/>
      <c r="M106"/>
    </row>
    <row r="107" spans="6:13" x14ac:dyDescent="0.25">
      <c r="F107"/>
      <c r="G107"/>
      <c r="H107"/>
      <c r="L107"/>
      <c r="M107"/>
    </row>
    <row r="108" spans="6:13" x14ac:dyDescent="0.25">
      <c r="F108"/>
      <c r="G108"/>
      <c r="H108"/>
      <c r="L108"/>
      <c r="M108"/>
    </row>
    <row r="109" spans="6:13" x14ac:dyDescent="0.25">
      <c r="F109"/>
      <c r="G109"/>
      <c r="H109"/>
      <c r="L109"/>
      <c r="M109"/>
    </row>
    <row r="110" spans="6:13" x14ac:dyDescent="0.25">
      <c r="F110"/>
      <c r="G110"/>
      <c r="H110"/>
      <c r="L110"/>
      <c r="M110"/>
    </row>
    <row r="111" spans="6:13" x14ac:dyDescent="0.25">
      <c r="F111"/>
      <c r="G111"/>
      <c r="H111"/>
      <c r="L111"/>
      <c r="M111"/>
    </row>
    <row r="112" spans="6:13" x14ac:dyDescent="0.25">
      <c r="F112"/>
      <c r="G112"/>
      <c r="H112"/>
      <c r="L112"/>
      <c r="M112"/>
    </row>
    <row r="113" spans="6:13" x14ac:dyDescent="0.25">
      <c r="F113"/>
      <c r="G113"/>
      <c r="H113"/>
      <c r="L113"/>
      <c r="M113"/>
    </row>
    <row r="114" spans="6:13" x14ac:dyDescent="0.25">
      <c r="F114"/>
      <c r="G114"/>
      <c r="H114"/>
      <c r="L114"/>
      <c r="M114"/>
    </row>
    <row r="115" spans="6:13" x14ac:dyDescent="0.25">
      <c r="F115"/>
      <c r="G115"/>
      <c r="H115"/>
      <c r="L115"/>
      <c r="M115"/>
    </row>
    <row r="116" spans="6:13" x14ac:dyDescent="0.25">
      <c r="F116"/>
      <c r="G116"/>
      <c r="H116"/>
      <c r="L116"/>
      <c r="M116"/>
    </row>
    <row r="117" spans="6:13" x14ac:dyDescent="0.25">
      <c r="F117"/>
      <c r="G117"/>
      <c r="H117"/>
      <c r="L117"/>
      <c r="M117"/>
    </row>
    <row r="118" spans="6:13" x14ac:dyDescent="0.25">
      <c r="F118"/>
      <c r="G118"/>
      <c r="H118"/>
      <c r="L118"/>
      <c r="M118"/>
    </row>
    <row r="119" spans="6:13" x14ac:dyDescent="0.25">
      <c r="F119"/>
      <c r="G119"/>
      <c r="H119"/>
      <c r="L119"/>
      <c r="M119"/>
    </row>
    <row r="120" spans="6:13" x14ac:dyDescent="0.25">
      <c r="F120"/>
      <c r="G120"/>
      <c r="H120"/>
      <c r="L120"/>
      <c r="M120"/>
    </row>
    <row r="121" spans="6:13" x14ac:dyDescent="0.25">
      <c r="F121"/>
      <c r="G121"/>
      <c r="H121"/>
      <c r="L121"/>
      <c r="M121"/>
    </row>
    <row r="122" spans="6:13" x14ac:dyDescent="0.25">
      <c r="F122"/>
      <c r="G122"/>
      <c r="H122"/>
      <c r="L122"/>
      <c r="M122"/>
    </row>
    <row r="123" spans="6:13" x14ac:dyDescent="0.25">
      <c r="F123"/>
      <c r="G123"/>
      <c r="H123"/>
      <c r="L123"/>
      <c r="M123"/>
    </row>
    <row r="124" spans="6:13" x14ac:dyDescent="0.25">
      <c r="F124"/>
      <c r="G124"/>
      <c r="H124"/>
      <c r="L124"/>
      <c r="M124"/>
    </row>
    <row r="125" spans="6:13" x14ac:dyDescent="0.25">
      <c r="F125"/>
      <c r="G125"/>
      <c r="H125"/>
      <c r="L125"/>
      <c r="M125"/>
    </row>
    <row r="126" spans="6:13" x14ac:dyDescent="0.25">
      <c r="F126"/>
      <c r="G126"/>
      <c r="H126"/>
      <c r="L126"/>
      <c r="M126"/>
    </row>
    <row r="127" spans="6:13" x14ac:dyDescent="0.25">
      <c r="F127"/>
      <c r="G127"/>
      <c r="H127"/>
      <c r="L127"/>
      <c r="M127"/>
    </row>
    <row r="128" spans="6:13" x14ac:dyDescent="0.25">
      <c r="F128"/>
      <c r="G128"/>
      <c r="H128"/>
      <c r="L128"/>
      <c r="M128"/>
    </row>
    <row r="129" spans="6:13" x14ac:dyDescent="0.25">
      <c r="F129"/>
      <c r="G129"/>
      <c r="H129"/>
      <c r="L129"/>
      <c r="M129"/>
    </row>
    <row r="130" spans="6:13" x14ac:dyDescent="0.25">
      <c r="F130"/>
      <c r="G130"/>
      <c r="H130"/>
      <c r="L130"/>
      <c r="M130"/>
    </row>
    <row r="131" spans="6:13" x14ac:dyDescent="0.25">
      <c r="F131"/>
      <c r="G131"/>
      <c r="H131"/>
      <c r="L131"/>
      <c r="M131"/>
    </row>
    <row r="132" spans="6:13" x14ac:dyDescent="0.25">
      <c r="F132"/>
      <c r="G132"/>
      <c r="H132"/>
      <c r="L132"/>
      <c r="M132"/>
    </row>
    <row r="133" spans="6:13" x14ac:dyDescent="0.25">
      <c r="F133"/>
      <c r="G133"/>
      <c r="H133"/>
      <c r="L133"/>
      <c r="M133"/>
    </row>
    <row r="134" spans="6:13" x14ac:dyDescent="0.25">
      <c r="F134"/>
      <c r="G134"/>
      <c r="H134"/>
      <c r="L134"/>
      <c r="M134"/>
    </row>
    <row r="135" spans="6:13" x14ac:dyDescent="0.25">
      <c r="F135"/>
      <c r="G135"/>
      <c r="H135"/>
      <c r="L135"/>
      <c r="M135"/>
    </row>
    <row r="136" spans="6:13" x14ac:dyDescent="0.25">
      <c r="F136"/>
      <c r="G136"/>
      <c r="H136"/>
      <c r="L136"/>
      <c r="M136"/>
    </row>
    <row r="137" spans="6:13" x14ac:dyDescent="0.25">
      <c r="F137"/>
      <c r="G137"/>
      <c r="H137"/>
      <c r="L137"/>
      <c r="M137"/>
    </row>
    <row r="138" spans="6:13" x14ac:dyDescent="0.25">
      <c r="F138"/>
      <c r="G138"/>
      <c r="H138"/>
      <c r="L138"/>
      <c r="M138"/>
    </row>
    <row r="139" spans="6:13" x14ac:dyDescent="0.25">
      <c r="F139"/>
      <c r="G139"/>
      <c r="H139"/>
      <c r="L139"/>
      <c r="M139"/>
    </row>
    <row r="140" spans="6:13" x14ac:dyDescent="0.25">
      <c r="F140"/>
      <c r="G140"/>
      <c r="H140"/>
      <c r="L140"/>
      <c r="M140"/>
    </row>
    <row r="141" spans="6:13" x14ac:dyDescent="0.25">
      <c r="F141"/>
      <c r="G141"/>
      <c r="H141"/>
      <c r="L141"/>
      <c r="M141"/>
    </row>
    <row r="142" spans="6:13" x14ac:dyDescent="0.25">
      <c r="F142"/>
      <c r="G142"/>
      <c r="H142"/>
      <c r="L142"/>
      <c r="M142"/>
    </row>
    <row r="143" spans="6:13" x14ac:dyDescent="0.25">
      <c r="F143"/>
      <c r="G143"/>
      <c r="H143"/>
      <c r="L143"/>
      <c r="M143"/>
    </row>
    <row r="144" spans="6:13" x14ac:dyDescent="0.25">
      <c r="F144"/>
      <c r="G144"/>
      <c r="H144"/>
      <c r="L144"/>
      <c r="M144"/>
    </row>
    <row r="145" spans="6:13" x14ac:dyDescent="0.25">
      <c r="F145"/>
      <c r="G145"/>
      <c r="H145"/>
      <c r="L145"/>
      <c r="M145"/>
    </row>
    <row r="146" spans="6:13" x14ac:dyDescent="0.25">
      <c r="F146"/>
      <c r="G146"/>
      <c r="H146"/>
      <c r="L146"/>
      <c r="M146"/>
    </row>
    <row r="147" spans="6:13" x14ac:dyDescent="0.25">
      <c r="F147"/>
      <c r="G147"/>
      <c r="H147"/>
      <c r="L147"/>
      <c r="M147"/>
    </row>
    <row r="148" spans="6:13" x14ac:dyDescent="0.25">
      <c r="F148"/>
      <c r="G148"/>
      <c r="H148"/>
      <c r="L148"/>
      <c r="M148"/>
    </row>
    <row r="149" spans="6:13" x14ac:dyDescent="0.25">
      <c r="F149"/>
      <c r="G149"/>
      <c r="H149"/>
      <c r="L149"/>
      <c r="M149"/>
    </row>
    <row r="150" spans="6:13" x14ac:dyDescent="0.25">
      <c r="F150"/>
      <c r="G150"/>
      <c r="H150"/>
      <c r="L150"/>
      <c r="M150"/>
    </row>
    <row r="151" spans="6:13" x14ac:dyDescent="0.25">
      <c r="F151"/>
      <c r="G151"/>
      <c r="H151"/>
      <c r="L151"/>
      <c r="M151"/>
    </row>
    <row r="152" spans="6:13" x14ac:dyDescent="0.25">
      <c r="F152"/>
      <c r="G152"/>
      <c r="H152"/>
      <c r="L152"/>
      <c r="M152"/>
    </row>
    <row r="153" spans="6:13" x14ac:dyDescent="0.25">
      <c r="F153"/>
      <c r="G153"/>
      <c r="H153"/>
      <c r="L153"/>
      <c r="M153"/>
    </row>
    <row r="154" spans="6:13" x14ac:dyDescent="0.25">
      <c r="F154"/>
      <c r="G154"/>
      <c r="H154"/>
      <c r="L154"/>
      <c r="M154"/>
    </row>
    <row r="155" spans="6:13" x14ac:dyDescent="0.25">
      <c r="F155"/>
      <c r="G155"/>
      <c r="H155"/>
      <c r="L155"/>
      <c r="M155"/>
    </row>
    <row r="156" spans="6:13" x14ac:dyDescent="0.25">
      <c r="F156"/>
      <c r="G156"/>
      <c r="H156"/>
      <c r="L156"/>
      <c r="M156"/>
    </row>
    <row r="157" spans="6:13" x14ac:dyDescent="0.25">
      <c r="F157"/>
      <c r="G157"/>
      <c r="H157"/>
      <c r="L157"/>
      <c r="M157"/>
    </row>
    <row r="158" spans="6:13" x14ac:dyDescent="0.25">
      <c r="F158"/>
      <c r="G158"/>
      <c r="H158"/>
      <c r="L158"/>
      <c r="M158"/>
    </row>
    <row r="159" spans="6:13" x14ac:dyDescent="0.25">
      <c r="F159"/>
      <c r="G159"/>
      <c r="H159"/>
      <c r="L159"/>
      <c r="M159"/>
    </row>
    <row r="160" spans="6:13" x14ac:dyDescent="0.25">
      <c r="F160"/>
      <c r="G160"/>
      <c r="H160"/>
      <c r="L160"/>
      <c r="M160"/>
    </row>
    <row r="161" spans="6:13" x14ac:dyDescent="0.25">
      <c r="F161"/>
      <c r="G161"/>
      <c r="H161"/>
      <c r="L161"/>
      <c r="M161"/>
    </row>
    <row r="162" spans="6:13" x14ac:dyDescent="0.25">
      <c r="F162"/>
      <c r="G162"/>
      <c r="H162"/>
      <c r="L162"/>
      <c r="M162"/>
    </row>
    <row r="163" spans="6:13" x14ac:dyDescent="0.25">
      <c r="F163"/>
      <c r="G163"/>
      <c r="H163"/>
      <c r="L163"/>
      <c r="M163"/>
    </row>
    <row r="164" spans="6:13" x14ac:dyDescent="0.25">
      <c r="F164"/>
      <c r="G164"/>
      <c r="H164"/>
      <c r="L164"/>
      <c r="M164"/>
    </row>
    <row r="165" spans="6:13" x14ac:dyDescent="0.25">
      <c r="F165"/>
      <c r="G165"/>
      <c r="H165"/>
      <c r="L165"/>
      <c r="M165"/>
    </row>
    <row r="166" spans="6:13" x14ac:dyDescent="0.25">
      <c r="F166"/>
      <c r="G166"/>
      <c r="H166"/>
      <c r="L166"/>
      <c r="M166"/>
    </row>
    <row r="167" spans="6:13" x14ac:dyDescent="0.25">
      <c r="F167"/>
      <c r="G167"/>
      <c r="H167"/>
      <c r="L167"/>
      <c r="M167"/>
    </row>
    <row r="168" spans="6:13" x14ac:dyDescent="0.25">
      <c r="F168"/>
      <c r="G168"/>
      <c r="H168"/>
      <c r="L168"/>
      <c r="M168"/>
    </row>
    <row r="169" spans="6:13" x14ac:dyDescent="0.25">
      <c r="F169"/>
      <c r="G169"/>
      <c r="H169"/>
      <c r="L169"/>
      <c r="M169"/>
    </row>
    <row r="170" spans="6:13" x14ac:dyDescent="0.25">
      <c r="F170"/>
      <c r="G170"/>
      <c r="H170"/>
      <c r="L170"/>
      <c r="M170"/>
    </row>
    <row r="171" spans="6:13" x14ac:dyDescent="0.25">
      <c r="F171"/>
      <c r="G171"/>
      <c r="H171"/>
      <c r="L171"/>
      <c r="M171"/>
    </row>
    <row r="172" spans="6:13" x14ac:dyDescent="0.25">
      <c r="F172"/>
      <c r="G172"/>
      <c r="H172"/>
      <c r="L172"/>
      <c r="M172"/>
    </row>
    <row r="173" spans="6:13" x14ac:dyDescent="0.25">
      <c r="F173"/>
      <c r="G173"/>
      <c r="H173"/>
      <c r="L173"/>
      <c r="M173"/>
    </row>
    <row r="174" spans="6:13" x14ac:dyDescent="0.25">
      <c r="F174"/>
      <c r="G174"/>
      <c r="H174"/>
      <c r="L174"/>
      <c r="M174"/>
    </row>
    <row r="175" spans="6:13" x14ac:dyDescent="0.25">
      <c r="F175"/>
      <c r="G175"/>
      <c r="H175"/>
      <c r="L175"/>
      <c r="M175"/>
    </row>
    <row r="176" spans="6:13" x14ac:dyDescent="0.25">
      <c r="F176"/>
      <c r="G176"/>
      <c r="H176"/>
      <c r="L176"/>
      <c r="M176"/>
    </row>
    <row r="177" spans="6:13" x14ac:dyDescent="0.25">
      <c r="F177"/>
      <c r="G177"/>
      <c r="H177"/>
      <c r="L177"/>
      <c r="M177"/>
    </row>
    <row r="178" spans="6:13" x14ac:dyDescent="0.25">
      <c r="F178"/>
      <c r="G178"/>
      <c r="H178"/>
      <c r="L178"/>
      <c r="M178"/>
    </row>
    <row r="179" spans="6:13" x14ac:dyDescent="0.25">
      <c r="F179"/>
      <c r="G179"/>
      <c r="H179"/>
      <c r="L179"/>
      <c r="M179"/>
    </row>
    <row r="180" spans="6:13" x14ac:dyDescent="0.25">
      <c r="F180"/>
      <c r="G180"/>
      <c r="H180"/>
      <c r="L180"/>
      <c r="M180"/>
    </row>
    <row r="181" spans="6:13" x14ac:dyDescent="0.25">
      <c r="F181"/>
      <c r="G181"/>
      <c r="H181"/>
      <c r="L181"/>
      <c r="M181"/>
    </row>
    <row r="182" spans="6:13" x14ac:dyDescent="0.25">
      <c r="F182"/>
      <c r="G182"/>
      <c r="H182"/>
      <c r="L182"/>
      <c r="M182"/>
    </row>
    <row r="183" spans="6:13" x14ac:dyDescent="0.25">
      <c r="F183"/>
      <c r="G183"/>
      <c r="H183"/>
      <c r="L183"/>
      <c r="M183"/>
    </row>
    <row r="184" spans="6:13" x14ac:dyDescent="0.25">
      <c r="F184"/>
      <c r="G184"/>
      <c r="H184"/>
      <c r="L184"/>
      <c r="M184"/>
    </row>
    <row r="185" spans="6:13" x14ac:dyDescent="0.25">
      <c r="F185"/>
      <c r="G185"/>
      <c r="H185"/>
      <c r="L185"/>
      <c r="M185"/>
    </row>
    <row r="186" spans="6:13" x14ac:dyDescent="0.25">
      <c r="F186"/>
      <c r="G186"/>
      <c r="H186"/>
      <c r="L186"/>
      <c r="M186"/>
    </row>
    <row r="187" spans="6:13" x14ac:dyDescent="0.25">
      <c r="F187"/>
      <c r="G187"/>
      <c r="H187"/>
      <c r="L187"/>
      <c r="M187"/>
    </row>
    <row r="188" spans="6:13" x14ac:dyDescent="0.25">
      <c r="F188"/>
      <c r="G188"/>
      <c r="H188"/>
      <c r="L188"/>
      <c r="M188"/>
    </row>
    <row r="189" spans="6:13" x14ac:dyDescent="0.25">
      <c r="F189"/>
      <c r="G189"/>
      <c r="H189"/>
      <c r="L189"/>
      <c r="M189"/>
    </row>
    <row r="190" spans="6:13" x14ac:dyDescent="0.25">
      <c r="F190"/>
      <c r="G190"/>
      <c r="H190"/>
      <c r="L190"/>
      <c r="M190"/>
    </row>
    <row r="191" spans="6:13" x14ac:dyDescent="0.25">
      <c r="F191"/>
      <c r="G191"/>
      <c r="H191"/>
      <c r="L191"/>
      <c r="M191"/>
    </row>
    <row r="192" spans="6:13" x14ac:dyDescent="0.25">
      <c r="F192"/>
      <c r="G192"/>
      <c r="H192"/>
      <c r="L192"/>
      <c r="M192"/>
    </row>
    <row r="193" spans="6:13" x14ac:dyDescent="0.25">
      <c r="F193"/>
      <c r="G193"/>
      <c r="H193"/>
      <c r="L193"/>
      <c r="M193"/>
    </row>
    <row r="194" spans="6:13" x14ac:dyDescent="0.25">
      <c r="F194"/>
      <c r="G194"/>
      <c r="H194"/>
      <c r="L194"/>
      <c r="M194"/>
    </row>
    <row r="195" spans="6:13" x14ac:dyDescent="0.25">
      <c r="F195"/>
      <c r="G195"/>
      <c r="H195"/>
      <c r="L195"/>
      <c r="M195"/>
    </row>
    <row r="196" spans="6:13" x14ac:dyDescent="0.25">
      <c r="F196"/>
      <c r="G196"/>
      <c r="H196"/>
      <c r="L196"/>
      <c r="M196"/>
    </row>
    <row r="197" spans="6:13" x14ac:dyDescent="0.25">
      <c r="F197"/>
      <c r="G197"/>
      <c r="H197"/>
      <c r="L197"/>
      <c r="M197"/>
    </row>
    <row r="198" spans="6:13" x14ac:dyDescent="0.25">
      <c r="F198"/>
      <c r="G198"/>
      <c r="H198"/>
      <c r="L198"/>
      <c r="M198"/>
    </row>
    <row r="199" spans="6:13" x14ac:dyDescent="0.25">
      <c r="F199"/>
      <c r="G199"/>
      <c r="H199"/>
      <c r="L199"/>
      <c r="M199"/>
    </row>
    <row r="200" spans="6:13" x14ac:dyDescent="0.25">
      <c r="F200"/>
      <c r="G200"/>
      <c r="H200"/>
      <c r="L200"/>
      <c r="M200"/>
    </row>
    <row r="201" spans="6:13" x14ac:dyDescent="0.25">
      <c r="F201"/>
      <c r="G201"/>
      <c r="H201"/>
      <c r="L201"/>
      <c r="M201"/>
    </row>
    <row r="202" spans="6:13" x14ac:dyDescent="0.25">
      <c r="F202"/>
      <c r="G202"/>
      <c r="H202"/>
      <c r="L202"/>
      <c r="M202"/>
    </row>
    <row r="203" spans="6:13" x14ac:dyDescent="0.25">
      <c r="F203"/>
      <c r="G203"/>
      <c r="H203"/>
      <c r="L203"/>
      <c r="M203"/>
    </row>
    <row r="204" spans="6:13" x14ac:dyDescent="0.25">
      <c r="F204"/>
      <c r="G204"/>
      <c r="H204"/>
      <c r="L204"/>
      <c r="M204"/>
    </row>
    <row r="205" spans="6:13" x14ac:dyDescent="0.25">
      <c r="F205"/>
      <c r="G205"/>
      <c r="H205"/>
      <c r="L205"/>
      <c r="M205"/>
    </row>
    <row r="206" spans="6:13" x14ac:dyDescent="0.25">
      <c r="F206"/>
      <c r="G206"/>
      <c r="H206"/>
      <c r="L206"/>
      <c r="M206"/>
    </row>
    <row r="207" spans="6:13" x14ac:dyDescent="0.25">
      <c r="F207"/>
      <c r="G207"/>
      <c r="H207"/>
      <c r="L207"/>
      <c r="M207"/>
    </row>
    <row r="208" spans="6:13" x14ac:dyDescent="0.25">
      <c r="F208"/>
      <c r="G208"/>
      <c r="H208"/>
      <c r="L208"/>
      <c r="M208"/>
    </row>
    <row r="209" spans="6:13" x14ac:dyDescent="0.25">
      <c r="F209"/>
      <c r="G209"/>
      <c r="H209"/>
      <c r="L209"/>
      <c r="M209"/>
    </row>
    <row r="210" spans="6:13" x14ac:dyDescent="0.25">
      <c r="F210"/>
      <c r="G210"/>
      <c r="H210"/>
      <c r="L210"/>
      <c r="M210"/>
    </row>
    <row r="211" spans="6:13" x14ac:dyDescent="0.25">
      <c r="F211"/>
      <c r="G211"/>
      <c r="H211"/>
      <c r="L211"/>
      <c r="M211"/>
    </row>
    <row r="212" spans="6:13" x14ac:dyDescent="0.25">
      <c r="F212"/>
      <c r="G212"/>
      <c r="H212"/>
      <c r="L212"/>
      <c r="M212"/>
    </row>
    <row r="213" spans="6:13" x14ac:dyDescent="0.25">
      <c r="F213"/>
      <c r="G213"/>
      <c r="H213"/>
      <c r="L213"/>
      <c r="M213"/>
    </row>
    <row r="214" spans="6:13" x14ac:dyDescent="0.25">
      <c r="F214"/>
      <c r="G214"/>
      <c r="H214"/>
      <c r="L214"/>
      <c r="M214"/>
    </row>
    <row r="215" spans="6:13" x14ac:dyDescent="0.25">
      <c r="F215"/>
      <c r="G215"/>
      <c r="H215"/>
      <c r="L215"/>
      <c r="M215"/>
    </row>
    <row r="216" spans="6:13" x14ac:dyDescent="0.25">
      <c r="F216"/>
      <c r="G216"/>
      <c r="H216"/>
      <c r="L216"/>
      <c r="M216"/>
    </row>
    <row r="217" spans="6:13" x14ac:dyDescent="0.25">
      <c r="F217"/>
      <c r="G217"/>
      <c r="H217"/>
      <c r="L217"/>
      <c r="M217"/>
    </row>
    <row r="218" spans="6:13" x14ac:dyDescent="0.25">
      <c r="F218"/>
      <c r="G218"/>
      <c r="H218"/>
      <c r="L218"/>
      <c r="M218"/>
    </row>
    <row r="219" spans="6:13" x14ac:dyDescent="0.25">
      <c r="F219"/>
      <c r="G219"/>
      <c r="H219"/>
      <c r="L219"/>
      <c r="M219"/>
    </row>
    <row r="220" spans="6:13" x14ac:dyDescent="0.25">
      <c r="F220"/>
      <c r="G220"/>
      <c r="H220"/>
      <c r="L220"/>
      <c r="M220"/>
    </row>
    <row r="221" spans="6:13" x14ac:dyDescent="0.25">
      <c r="F221"/>
      <c r="G221"/>
      <c r="H221"/>
      <c r="L221"/>
      <c r="M221"/>
    </row>
    <row r="222" spans="6:13" x14ac:dyDescent="0.25">
      <c r="F222"/>
      <c r="G222"/>
      <c r="H222"/>
      <c r="L222"/>
      <c r="M222"/>
    </row>
    <row r="223" spans="6:13" x14ac:dyDescent="0.25">
      <c r="F223"/>
      <c r="G223"/>
      <c r="H223"/>
      <c r="L223"/>
      <c r="M223"/>
    </row>
    <row r="224" spans="6:13" x14ac:dyDescent="0.25">
      <c r="F224"/>
      <c r="G224"/>
      <c r="H224"/>
      <c r="L224"/>
      <c r="M224"/>
    </row>
    <row r="225" spans="6:13" x14ac:dyDescent="0.25">
      <c r="F225"/>
      <c r="G225"/>
      <c r="H225"/>
      <c r="L225"/>
      <c r="M225"/>
    </row>
    <row r="226" spans="6:13" x14ac:dyDescent="0.25">
      <c r="F226"/>
      <c r="G226"/>
      <c r="H226"/>
      <c r="L226"/>
      <c r="M226"/>
    </row>
    <row r="227" spans="6:13" x14ac:dyDescent="0.25">
      <c r="F227"/>
      <c r="G227"/>
      <c r="H227"/>
      <c r="L227"/>
      <c r="M227"/>
    </row>
    <row r="228" spans="6:13" x14ac:dyDescent="0.25">
      <c r="F228"/>
      <c r="G228"/>
      <c r="H228"/>
      <c r="L228"/>
      <c r="M228"/>
    </row>
    <row r="229" spans="6:13" x14ac:dyDescent="0.25">
      <c r="F229"/>
      <c r="G229"/>
      <c r="H229"/>
    </row>
  </sheetData>
  <mergeCells count="7">
    <mergeCell ref="A21:K21"/>
    <mergeCell ref="A13:N13"/>
    <mergeCell ref="M1:N1"/>
    <mergeCell ref="A3:N3"/>
    <mergeCell ref="A5:N5"/>
    <mergeCell ref="A7:N7"/>
    <mergeCell ref="A9:N9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8"/>
  <sheetViews>
    <sheetView zoomScale="85" zoomScaleNormal="85" workbookViewId="0">
      <selection activeCell="G5" sqref="G5"/>
    </sheetView>
  </sheetViews>
  <sheetFormatPr defaultRowHeight="15" x14ac:dyDescent="0.25"/>
  <cols>
    <col min="2" max="2" width="12" customWidth="1"/>
    <col min="3" max="3" width="13" customWidth="1"/>
    <col min="4" max="4" width="12.5703125" customWidth="1"/>
    <col min="5" max="5" width="11" customWidth="1"/>
    <col min="6" max="6" width="11.28515625" customWidth="1"/>
    <col min="7" max="7" width="11.85546875" customWidth="1"/>
    <col min="8" max="8" width="13.42578125" customWidth="1"/>
    <col min="9" max="9" width="14.85546875" customWidth="1"/>
    <col min="10" max="10" width="16.42578125" customWidth="1"/>
    <col min="11" max="11" width="11.42578125" customWidth="1"/>
    <col min="12" max="12" width="14.42578125" customWidth="1"/>
    <col min="13" max="13" width="10.85546875" customWidth="1"/>
    <col min="14" max="14" width="11.85546875" customWidth="1"/>
    <col min="15" max="15" width="10.28515625" customWidth="1"/>
    <col min="16" max="16" width="11.140625" customWidth="1"/>
    <col min="22" max="22" width="7.85546875" customWidth="1"/>
    <col min="23" max="23" width="50.42578125" customWidth="1"/>
    <col min="24" max="24" width="35.42578125" customWidth="1"/>
    <col min="25" max="25" width="31" customWidth="1"/>
  </cols>
  <sheetData>
    <row r="1" spans="1:25" x14ac:dyDescent="0.25">
      <c r="A1" s="59" t="s">
        <v>35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</row>
    <row r="2" spans="1:25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</row>
    <row r="3" spans="1:25" ht="78.75" x14ac:dyDescent="0.25">
      <c r="A3" s="1" t="s">
        <v>18</v>
      </c>
      <c r="B3" s="1" t="s">
        <v>0</v>
      </c>
      <c r="C3" s="2" t="s">
        <v>13</v>
      </c>
      <c r="D3" s="1" t="s">
        <v>36</v>
      </c>
      <c r="E3" s="2" t="s">
        <v>37</v>
      </c>
      <c r="F3" s="2" t="s">
        <v>38</v>
      </c>
      <c r="G3" s="2" t="s">
        <v>39</v>
      </c>
      <c r="H3" s="2" t="s">
        <v>40</v>
      </c>
      <c r="I3" s="2" t="s">
        <v>41</v>
      </c>
      <c r="J3" s="2" t="s">
        <v>42</v>
      </c>
      <c r="K3" s="62" t="s">
        <v>46</v>
      </c>
      <c r="L3" s="63"/>
      <c r="M3" s="64"/>
      <c r="N3" s="62" t="s">
        <v>47</v>
      </c>
      <c r="O3" s="63"/>
      <c r="P3" s="64"/>
      <c r="Q3" s="62" t="s">
        <v>48</v>
      </c>
      <c r="R3" s="63"/>
      <c r="S3" s="64"/>
      <c r="T3" s="1" t="s">
        <v>1</v>
      </c>
      <c r="U3" s="1" t="s">
        <v>14</v>
      </c>
      <c r="V3" s="13" t="s">
        <v>15</v>
      </c>
      <c r="W3" s="57" t="s">
        <v>64</v>
      </c>
      <c r="X3" s="58"/>
    </row>
    <row r="4" spans="1:25" ht="31.5" x14ac:dyDescent="0.25">
      <c r="A4" s="1" t="s">
        <v>2</v>
      </c>
      <c r="B4" s="1" t="s">
        <v>3</v>
      </c>
      <c r="C4" s="2"/>
      <c r="D4" s="1" t="s">
        <v>4</v>
      </c>
      <c r="E4" s="2"/>
      <c r="F4" s="2"/>
      <c r="G4" s="2"/>
      <c r="H4" s="2"/>
      <c r="I4" s="2"/>
      <c r="J4" s="2"/>
      <c r="K4" s="2" t="s">
        <v>49</v>
      </c>
      <c r="L4" s="2" t="s">
        <v>44</v>
      </c>
      <c r="M4" s="2" t="s">
        <v>45</v>
      </c>
      <c r="N4" s="2" t="s">
        <v>43</v>
      </c>
      <c r="O4" s="2" t="s">
        <v>44</v>
      </c>
      <c r="P4" s="2" t="s">
        <v>45</v>
      </c>
      <c r="Q4" s="2" t="s">
        <v>43</v>
      </c>
      <c r="R4" s="2" t="s">
        <v>44</v>
      </c>
      <c r="S4" s="2" t="s">
        <v>45</v>
      </c>
      <c r="T4" s="1" t="s">
        <v>5</v>
      </c>
      <c r="U4" s="1"/>
      <c r="V4" s="13"/>
      <c r="W4" s="1"/>
      <c r="X4" s="12"/>
    </row>
    <row r="5" spans="1:25" ht="29.25" customHeight="1" x14ac:dyDescent="0.25">
      <c r="A5" s="4" t="s">
        <v>7</v>
      </c>
      <c r="B5" s="4" t="s">
        <v>76</v>
      </c>
      <c r="C5" s="5" t="str">
        <f>Reverse_Word_All(B5)</f>
        <v>63000000</v>
      </c>
      <c r="D5" s="4" t="s">
        <v>53</v>
      </c>
      <c r="E5" s="5" t="str">
        <f>Reverse_Word_All(D5)</f>
        <v>0100</v>
      </c>
      <c r="F5" s="16" t="s">
        <v>62</v>
      </c>
      <c r="G5" s="5" t="str">
        <f t="shared" ref="G5:G6" si="0">Reverse_Word_All(F5)</f>
        <v>07B20100</v>
      </c>
      <c r="H5" s="16" t="s">
        <v>8</v>
      </c>
      <c r="I5" s="16" t="s">
        <v>8</v>
      </c>
      <c r="J5" s="16" t="s">
        <v>8</v>
      </c>
      <c r="K5" s="16" t="s">
        <v>8</v>
      </c>
      <c r="L5" s="16" t="s">
        <v>30</v>
      </c>
      <c r="M5" s="16" t="s">
        <v>30</v>
      </c>
      <c r="N5" s="16" t="s">
        <v>8</v>
      </c>
      <c r="O5" s="16" t="s">
        <v>30</v>
      </c>
      <c r="P5" s="16" t="s">
        <v>30</v>
      </c>
      <c r="Q5" s="16" t="s">
        <v>8</v>
      </c>
      <c r="R5" s="16" t="s">
        <v>30</v>
      </c>
      <c r="S5" s="16" t="s">
        <v>30</v>
      </c>
      <c r="T5" s="4" t="s">
        <v>20</v>
      </c>
      <c r="U5" s="7" t="str">
        <f>Reverse_Word_All(T5)</f>
        <v>0ff0</v>
      </c>
      <c r="V5" s="14" t="s">
        <v>16</v>
      </c>
      <c r="W5" s="6" t="str">
        <f>CONCATENATE(A5,V5,C5,V5,E5,V5,G5,V5, H5,V5, I5,V5,J5,V5,K5, L5,M5,V5,N5,O5,P5,V5,Q5,R5,S5,V5,U5)</f>
        <v>09 63000000 0100 07B20100 01 01 01 010000 010000 010000 0ff0</v>
      </c>
      <c r="X5" s="7" t="str">
        <f>CONCATENATE(A5,C5,E5,G5, H5, I5,J5,K5, L5,M5,N5,O5,P5,Q5,R5,S5,U5)</f>
        <v>0963000000010007B201000101010100000100000100000ff0</v>
      </c>
      <c r="Y5" t="s">
        <v>78</v>
      </c>
    </row>
    <row r="6" spans="1:25" ht="30" x14ac:dyDescent="0.25">
      <c r="A6" s="4" t="s">
        <v>7</v>
      </c>
      <c r="B6" s="4" t="s">
        <v>77</v>
      </c>
      <c r="C6" s="5" t="str">
        <f>Reverse_Word_All(B6)</f>
        <v>17000000</v>
      </c>
      <c r="D6" s="4" t="s">
        <v>51</v>
      </c>
      <c r="E6" s="5" t="str">
        <f>Reverse_Word_All(D6)</f>
        <v>0200</v>
      </c>
      <c r="F6" s="16" t="s">
        <v>62</v>
      </c>
      <c r="G6" s="5" t="str">
        <f t="shared" si="0"/>
        <v>07B20100</v>
      </c>
      <c r="H6" s="16" t="s">
        <v>8</v>
      </c>
      <c r="I6" s="16" t="s">
        <v>8</v>
      </c>
      <c r="J6" s="16" t="s">
        <v>8</v>
      </c>
      <c r="K6" s="16" t="s">
        <v>9</v>
      </c>
      <c r="L6" s="16" t="s">
        <v>30</v>
      </c>
      <c r="M6" s="16" t="s">
        <v>30</v>
      </c>
      <c r="N6" s="16" t="s">
        <v>8</v>
      </c>
      <c r="O6" s="16" t="s">
        <v>30</v>
      </c>
      <c r="P6" s="16" t="s">
        <v>30</v>
      </c>
      <c r="Q6" s="16" t="s">
        <v>8</v>
      </c>
      <c r="R6" s="16" t="s">
        <v>30</v>
      </c>
      <c r="S6" s="16" t="s">
        <v>30</v>
      </c>
      <c r="T6" s="4" t="s">
        <v>20</v>
      </c>
      <c r="U6" s="7" t="str">
        <f>Reverse_Word_All(T6)</f>
        <v>0ff0</v>
      </c>
      <c r="V6" s="14" t="s">
        <v>16</v>
      </c>
      <c r="W6" s="6" t="str">
        <f>CONCATENATE(A6,V6,C6,V6,E6,V6,G6,V6, H6,V6, I6,V6,J6,V6,K6, L6,M6,V6,N6,O6,P6,V6,Q6,R6,S6,V6,U6)</f>
        <v>09 17000000 0200 07B20100 01 01 01 020000 010000 010000 0ff0</v>
      </c>
      <c r="X6" s="7" t="str">
        <f>CONCATENATE(A6,C6,E6,G6, H6, I6,J6,K6, L6,M6,N6,O6,P6,Q6,R6,S6,U6)</f>
        <v>0917000000020007B201000101010200000100000100000ff0</v>
      </c>
      <c r="Y6" t="s">
        <v>79</v>
      </c>
    </row>
    <row r="7" spans="1:25" ht="30" x14ac:dyDescent="0.25">
      <c r="A7" s="4" t="s">
        <v>7</v>
      </c>
      <c r="B7" s="4" t="s">
        <v>54</v>
      </c>
      <c r="C7" s="5" t="str">
        <f>Reverse_Word_All(B7)</f>
        <v>A82E3E00</v>
      </c>
      <c r="D7" s="4" t="s">
        <v>55</v>
      </c>
      <c r="E7" s="5" t="str">
        <f>Reverse_Word_All(D7)</f>
        <v>0300</v>
      </c>
      <c r="F7" s="16" t="s">
        <v>50</v>
      </c>
      <c r="G7" s="5" t="str">
        <f t="shared" ref="G7" si="1">Reverse_Word_All(F7)</f>
        <v>05030201</v>
      </c>
      <c r="H7" s="16" t="s">
        <v>8</v>
      </c>
      <c r="I7" s="16" t="s">
        <v>8</v>
      </c>
      <c r="J7" s="16" t="s">
        <v>8</v>
      </c>
      <c r="K7" s="16" t="s">
        <v>9</v>
      </c>
      <c r="L7" s="16" t="s">
        <v>30</v>
      </c>
      <c r="M7" s="16" t="s">
        <v>30</v>
      </c>
      <c r="N7" s="16" t="s">
        <v>8</v>
      </c>
      <c r="O7" s="16" t="s">
        <v>30</v>
      </c>
      <c r="P7" s="16" t="s">
        <v>30</v>
      </c>
      <c r="Q7" s="16" t="s">
        <v>8</v>
      </c>
      <c r="R7" s="16" t="s">
        <v>30</v>
      </c>
      <c r="S7" s="16" t="s">
        <v>30</v>
      </c>
      <c r="T7" s="4" t="s">
        <v>20</v>
      </c>
      <c r="U7" s="7" t="str">
        <f>Reverse_Word_All(T7)</f>
        <v>0ff0</v>
      </c>
      <c r="V7" s="14" t="s">
        <v>16</v>
      </c>
      <c r="W7" s="6" t="str">
        <f>CONCATENATE(A7,V7,C7,V7,E7,V7,G7,V7, H7,V7, I7,V7,J7,V7,K7, L7,M7,V7,N7,O7,P7,V7,Q7,R7,S7,V7,U7)</f>
        <v>09 A82E3E00 0300 05030201 01 01 01 020000 010000 010000 0ff0</v>
      </c>
      <c r="X7" s="7" t="str">
        <f>CONCATENATE(A7,C7,E7,G7, H7, I7,J7,K7, L7,M7,N7,O7,P7,Q7,R7,S7,U7)</f>
        <v>09A82E3E000300050302010101010200000100000100000ff0</v>
      </c>
    </row>
    <row r="8" spans="1:25" ht="30" x14ac:dyDescent="0.25">
      <c r="A8" s="4" t="s">
        <v>7</v>
      </c>
      <c r="B8" s="4" t="s">
        <v>63</v>
      </c>
      <c r="C8" s="5" t="str">
        <f>Reverse_Word_All(B8)</f>
        <v>33112602</v>
      </c>
      <c r="D8" s="4" t="s">
        <v>53</v>
      </c>
      <c r="E8" s="5" t="str">
        <f>Reverse_Word_All(D8)</f>
        <v>0100</v>
      </c>
      <c r="F8" s="16" t="s">
        <v>50</v>
      </c>
      <c r="G8" s="5" t="str">
        <f t="shared" ref="G8" si="2">Reverse_Word_All(F8)</f>
        <v>05030201</v>
      </c>
      <c r="H8" s="16" t="s">
        <v>8</v>
      </c>
      <c r="I8" s="16" t="s">
        <v>8</v>
      </c>
      <c r="J8" s="16" t="s">
        <v>8</v>
      </c>
      <c r="K8" s="16" t="s">
        <v>9</v>
      </c>
      <c r="L8" s="16" t="s">
        <v>30</v>
      </c>
      <c r="M8" s="16" t="s">
        <v>30</v>
      </c>
      <c r="N8" s="16" t="s">
        <v>8</v>
      </c>
      <c r="O8" s="16" t="s">
        <v>30</v>
      </c>
      <c r="P8" s="16" t="s">
        <v>30</v>
      </c>
      <c r="Q8" s="16" t="s">
        <v>8</v>
      </c>
      <c r="R8" s="16" t="s">
        <v>30</v>
      </c>
      <c r="S8" s="16" t="s">
        <v>30</v>
      </c>
      <c r="T8" s="4" t="s">
        <v>20</v>
      </c>
      <c r="U8" s="7" t="str">
        <f>Reverse_Word_All(T8)</f>
        <v>0ff0</v>
      </c>
      <c r="V8" s="14" t="s">
        <v>16</v>
      </c>
      <c r="W8" s="6" t="str">
        <f>CONCATENATE(A8,V8,C8,V8,E8,V8,G8,V8, H8,V8, I8,V8,J8,V8,K8, L8,M8,V8,N8,O8,P8,V8,Q8,R8,S8,V8,U8)</f>
        <v>09 33112602 0100 05030201 01 01 01 020000 010000 010000 0ff0</v>
      </c>
      <c r="X8" s="7" t="str">
        <f>CONCATENATE(A8,C8,E8,G8, H8, I8,J8,K8, L8,M8,N8,O8,P8,Q8,R8,S8,U8)</f>
        <v>09331126020100050302010101010200000100000100000ff0</v>
      </c>
    </row>
  </sheetData>
  <mergeCells count="5">
    <mergeCell ref="W3:X3"/>
    <mergeCell ref="A1:X2"/>
    <mergeCell ref="Q3:S3"/>
    <mergeCell ref="N3:P3"/>
    <mergeCell ref="K3:M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"/>
  <sheetViews>
    <sheetView workbookViewId="0">
      <selection activeCell="C13" sqref="C13"/>
    </sheetView>
  </sheetViews>
  <sheetFormatPr defaultRowHeight="15" x14ac:dyDescent="0.25"/>
  <cols>
    <col min="2" max="2" width="13" customWidth="1"/>
    <col min="3" max="3" width="12" customWidth="1"/>
    <col min="4" max="4" width="13.28515625" customWidth="1"/>
    <col min="5" max="5" width="12.85546875" customWidth="1"/>
    <col min="6" max="6" width="12.5703125" customWidth="1"/>
    <col min="7" max="7" width="15" customWidth="1"/>
    <col min="8" max="8" width="13.140625" customWidth="1"/>
    <col min="9" max="9" width="16.140625" customWidth="1"/>
    <col min="11" max="11" width="12.28515625" customWidth="1"/>
    <col min="13" max="13" width="45.42578125" customWidth="1"/>
    <col min="14" max="14" width="42.42578125" customWidth="1"/>
  </cols>
  <sheetData>
    <row r="1" spans="1:14" x14ac:dyDescent="0.25">
      <c r="A1" s="65" t="s">
        <v>56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</row>
    <row r="2" spans="1:14" ht="16.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3" spans="1:14" ht="47.25" x14ac:dyDescent="0.25">
      <c r="A3" s="1" t="s">
        <v>18</v>
      </c>
      <c r="B3" s="1" t="s">
        <v>0</v>
      </c>
      <c r="C3" s="2" t="s">
        <v>13</v>
      </c>
      <c r="D3" s="1" t="s">
        <v>38</v>
      </c>
      <c r="E3" s="2" t="s">
        <v>39</v>
      </c>
      <c r="F3" s="2" t="s">
        <v>60</v>
      </c>
      <c r="G3" s="2" t="s">
        <v>58</v>
      </c>
      <c r="H3" s="2"/>
      <c r="I3" s="2"/>
      <c r="J3" s="1" t="s">
        <v>1</v>
      </c>
      <c r="K3" s="1" t="s">
        <v>14</v>
      </c>
      <c r="L3" s="13" t="s">
        <v>15</v>
      </c>
      <c r="M3" s="57" t="s">
        <v>57</v>
      </c>
      <c r="N3" s="58"/>
    </row>
    <row r="4" spans="1:14" ht="15.75" x14ac:dyDescent="0.25">
      <c r="A4" s="1" t="s">
        <v>2</v>
      </c>
      <c r="B4" s="1" t="s">
        <v>3</v>
      </c>
      <c r="C4" s="2"/>
      <c r="D4" s="1" t="s">
        <v>4</v>
      </c>
      <c r="E4" s="2"/>
      <c r="F4" s="2"/>
      <c r="G4" s="2"/>
      <c r="H4" s="2"/>
      <c r="I4" s="2"/>
      <c r="J4" s="1" t="s">
        <v>5</v>
      </c>
      <c r="K4" s="1"/>
      <c r="L4" s="13"/>
      <c r="M4" s="1"/>
      <c r="N4" s="12"/>
    </row>
    <row r="5" spans="1:14" ht="30" x14ac:dyDescent="0.25">
      <c r="A5" s="4" t="s">
        <v>61</v>
      </c>
      <c r="B5" s="4" t="s">
        <v>54</v>
      </c>
      <c r="C5" s="5" t="str">
        <f>Reverse_Word_All(B5)</f>
        <v>A82E3E00</v>
      </c>
      <c r="D5" s="4" t="s">
        <v>62</v>
      </c>
      <c r="E5" s="5" t="str">
        <f>Reverse_Word_All(D5)</f>
        <v>07B20100</v>
      </c>
      <c r="F5" s="5" t="s">
        <v>59</v>
      </c>
      <c r="G5" s="5" t="str">
        <f>Reverse_Word_All(F5)</f>
        <v>AC260000</v>
      </c>
      <c r="H5" s="5"/>
      <c r="I5" s="5"/>
      <c r="J5" s="4" t="s">
        <v>20</v>
      </c>
      <c r="K5" s="7" t="str">
        <f>Reverse_Word_All(J5)</f>
        <v>0ff0</v>
      </c>
      <c r="L5" s="14" t="s">
        <v>16</v>
      </c>
      <c r="M5" s="6" t="str">
        <f>CONCATENATE(A5,L5,C5,L5,E5,L5,G5,K14,L5,K5)</f>
        <v>0A A82E3E00 07B20100 AC260000 0ff0</v>
      </c>
      <c r="N5" s="7" t="str">
        <f>CONCATENATE(A5,C5,E5,G5,K5)</f>
        <v>0AA82E3E0007B20100AC2600000ff0</v>
      </c>
    </row>
    <row r="6" spans="1:14" ht="54" customHeight="1" x14ac:dyDescent="0.25"/>
  </sheetData>
  <mergeCells count="2">
    <mergeCell ref="A1:N2"/>
    <mergeCell ref="M3:N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"/>
  <sheetViews>
    <sheetView topLeftCell="A58" zoomScale="145" zoomScaleNormal="145" workbookViewId="0">
      <selection activeCell="A58" sqref="A58"/>
    </sheetView>
  </sheetViews>
  <sheetFormatPr defaultRowHeight="15" x14ac:dyDescent="0.25"/>
  <cols>
    <col min="1" max="1" width="98.85546875" customWidth="1"/>
    <col min="2" max="2" width="2.140625" customWidth="1"/>
    <col min="3" max="3" width="3.28515625" customWidth="1"/>
  </cols>
  <sheetData>
    <row r="1" spans="1:1" ht="29.25" x14ac:dyDescent="0.25">
      <c r="A1" s="19" t="s">
        <v>65</v>
      </c>
    </row>
    <row r="2" spans="1:1" x14ac:dyDescent="0.25">
      <c r="A2" s="17"/>
    </row>
    <row r="3" spans="1:1" x14ac:dyDescent="0.25">
      <c r="A3" s="19" t="s">
        <v>66</v>
      </c>
    </row>
    <row r="4" spans="1:1" x14ac:dyDescent="0.25">
      <c r="A4" s="17"/>
    </row>
    <row r="5" spans="1:1" ht="29.25" x14ac:dyDescent="0.25">
      <c r="A5" s="19" t="s">
        <v>67</v>
      </c>
    </row>
    <row r="6" spans="1:1" ht="29.25" x14ac:dyDescent="0.25">
      <c r="A6" s="19" t="s">
        <v>68</v>
      </c>
    </row>
    <row r="7" spans="1:1" x14ac:dyDescent="0.25">
      <c r="A7" s="17"/>
    </row>
    <row r="8" spans="1:1" x14ac:dyDescent="0.25">
      <c r="A8" s="17"/>
    </row>
    <row r="9" spans="1:1" x14ac:dyDescent="0.25">
      <c r="A9" s="17"/>
    </row>
    <row r="10" spans="1:1" x14ac:dyDescent="0.25">
      <c r="A10" s="17"/>
    </row>
    <row r="11" spans="1:1" x14ac:dyDescent="0.25">
      <c r="A11" s="17"/>
    </row>
    <row r="12" spans="1:1" x14ac:dyDescent="0.25">
      <c r="A12" s="17"/>
    </row>
    <row r="13" spans="1:1" x14ac:dyDescent="0.25">
      <c r="A13" s="17"/>
    </row>
    <row r="14" spans="1:1" x14ac:dyDescent="0.25">
      <c r="A14" s="17"/>
    </row>
    <row r="15" spans="1:1" x14ac:dyDescent="0.25">
      <c r="A15" s="17"/>
    </row>
    <row r="16" spans="1:1" x14ac:dyDescent="0.25">
      <c r="A16" s="17"/>
    </row>
    <row r="17" spans="1:1" x14ac:dyDescent="0.25">
      <c r="A17" s="17"/>
    </row>
    <row r="18" spans="1:1" x14ac:dyDescent="0.25">
      <c r="A18" s="17"/>
    </row>
    <row r="19" spans="1:1" x14ac:dyDescent="0.25">
      <c r="A19" s="17"/>
    </row>
    <row r="20" spans="1:1" x14ac:dyDescent="0.25">
      <c r="A20" s="17"/>
    </row>
    <row r="21" spans="1:1" x14ac:dyDescent="0.25">
      <c r="A21" s="17"/>
    </row>
    <row r="22" spans="1:1" x14ac:dyDescent="0.25">
      <c r="A22" s="17"/>
    </row>
    <row r="23" spans="1:1" x14ac:dyDescent="0.25">
      <c r="A23" s="18" t="s">
        <v>69</v>
      </c>
    </row>
    <row r="24" spans="1:1" x14ac:dyDescent="0.25">
      <c r="A24" s="17"/>
    </row>
    <row r="25" spans="1:1" x14ac:dyDescent="0.25">
      <c r="A25" s="17"/>
    </row>
    <row r="26" spans="1:1" x14ac:dyDescent="0.25">
      <c r="A26" s="17"/>
    </row>
    <row r="27" spans="1:1" x14ac:dyDescent="0.25">
      <c r="A27" s="17"/>
    </row>
    <row r="28" spans="1:1" x14ac:dyDescent="0.25">
      <c r="A28" s="17"/>
    </row>
    <row r="29" spans="1:1" x14ac:dyDescent="0.25">
      <c r="A29" s="17"/>
    </row>
    <row r="30" spans="1:1" x14ac:dyDescent="0.25">
      <c r="A30" s="17"/>
    </row>
    <row r="31" spans="1:1" x14ac:dyDescent="0.25">
      <c r="A31" s="17"/>
    </row>
    <row r="32" spans="1:1" x14ac:dyDescent="0.25">
      <c r="A32" s="17"/>
    </row>
    <row r="33" spans="1:1" x14ac:dyDescent="0.25">
      <c r="A33" s="17"/>
    </row>
    <row r="34" spans="1:1" x14ac:dyDescent="0.25">
      <c r="A34" s="17"/>
    </row>
    <row r="35" spans="1:1" x14ac:dyDescent="0.25">
      <c r="A35" s="17"/>
    </row>
    <row r="36" spans="1:1" x14ac:dyDescent="0.25">
      <c r="A36" s="17"/>
    </row>
    <row r="37" spans="1:1" x14ac:dyDescent="0.25">
      <c r="A37" s="17"/>
    </row>
    <row r="38" spans="1:1" x14ac:dyDescent="0.25">
      <c r="A38" s="17"/>
    </row>
    <row r="39" spans="1:1" x14ac:dyDescent="0.25">
      <c r="A39" s="17"/>
    </row>
    <row r="40" spans="1:1" x14ac:dyDescent="0.25">
      <c r="A40" s="17"/>
    </row>
    <row r="41" spans="1:1" x14ac:dyDescent="0.25">
      <c r="A41" s="17"/>
    </row>
    <row r="42" spans="1:1" ht="29.25" x14ac:dyDescent="0.25">
      <c r="A42" s="19" t="s">
        <v>70</v>
      </c>
    </row>
    <row r="43" spans="1:1" x14ac:dyDescent="0.25">
      <c r="A43" s="17"/>
    </row>
    <row r="44" spans="1:1" x14ac:dyDescent="0.25">
      <c r="A44" s="17"/>
    </row>
    <row r="45" spans="1:1" x14ac:dyDescent="0.25">
      <c r="A45" s="17"/>
    </row>
    <row r="46" spans="1:1" x14ac:dyDescent="0.25">
      <c r="A46" s="17"/>
    </row>
    <row r="47" spans="1:1" x14ac:dyDescent="0.25">
      <c r="A47" s="17"/>
    </row>
    <row r="48" spans="1:1" x14ac:dyDescent="0.25">
      <c r="A48" s="17"/>
    </row>
    <row r="49" spans="1:1" x14ac:dyDescent="0.25">
      <c r="A49" s="17"/>
    </row>
    <row r="50" spans="1:1" x14ac:dyDescent="0.25">
      <c r="A50" s="17"/>
    </row>
    <row r="51" spans="1:1" x14ac:dyDescent="0.25">
      <c r="A51" s="17"/>
    </row>
    <row r="52" spans="1:1" x14ac:dyDescent="0.25">
      <c r="A52" s="17"/>
    </row>
    <row r="53" spans="1:1" x14ac:dyDescent="0.25">
      <c r="A53" s="17"/>
    </row>
    <row r="54" spans="1:1" x14ac:dyDescent="0.25">
      <c r="A54" s="17"/>
    </row>
    <row r="55" spans="1:1" x14ac:dyDescent="0.25">
      <c r="A55" s="17"/>
    </row>
    <row r="56" spans="1:1" x14ac:dyDescent="0.25">
      <c r="A56" s="17"/>
    </row>
    <row r="57" spans="1:1" x14ac:dyDescent="0.25">
      <c r="A57" s="17"/>
    </row>
    <row r="58" spans="1:1" x14ac:dyDescent="0.25">
      <c r="A58" s="17" t="s">
        <v>73</v>
      </c>
    </row>
    <row r="59" spans="1:1" x14ac:dyDescent="0.25">
      <c r="A59" s="17"/>
    </row>
    <row r="60" spans="1:1" ht="45" x14ac:dyDescent="0.25">
      <c r="A60" s="17" t="s">
        <v>74</v>
      </c>
    </row>
    <row r="61" spans="1:1" x14ac:dyDescent="0.25">
      <c r="A61" s="17"/>
    </row>
    <row r="62" spans="1:1" x14ac:dyDescent="0.25">
      <c r="A62" s="17"/>
    </row>
    <row r="63" spans="1:1" x14ac:dyDescent="0.25">
      <c r="A63" s="17"/>
    </row>
    <row r="64" spans="1:1" x14ac:dyDescent="0.25">
      <c r="A64" s="17"/>
    </row>
    <row r="65" spans="1:1" x14ac:dyDescent="0.25">
      <c r="A65" s="17"/>
    </row>
    <row r="66" spans="1:1" x14ac:dyDescent="0.25">
      <c r="A66" s="17"/>
    </row>
    <row r="67" spans="1:1" x14ac:dyDescent="0.25">
      <c r="A67" s="17"/>
    </row>
    <row r="68" spans="1:1" x14ac:dyDescent="0.25">
      <c r="A68" s="17"/>
    </row>
    <row r="69" spans="1:1" x14ac:dyDescent="0.25">
      <c r="A69" s="17"/>
    </row>
    <row r="70" spans="1:1" x14ac:dyDescent="0.25">
      <c r="A70" s="17"/>
    </row>
    <row r="71" spans="1:1" x14ac:dyDescent="0.25">
      <c r="A71" s="17"/>
    </row>
    <row r="72" spans="1:1" x14ac:dyDescent="0.25">
      <c r="A72" s="17"/>
    </row>
    <row r="73" spans="1:1" x14ac:dyDescent="0.25">
      <c r="A73" s="17"/>
    </row>
    <row r="74" spans="1:1" x14ac:dyDescent="0.25">
      <c r="A74" s="17"/>
    </row>
    <row r="75" spans="1:1" x14ac:dyDescent="0.25">
      <c r="A75" s="17"/>
    </row>
    <row r="76" spans="1:1" x14ac:dyDescent="0.25">
      <c r="A76" s="20" t="s">
        <v>75</v>
      </c>
    </row>
    <row r="77" spans="1:1" x14ac:dyDescent="0.25">
      <c r="A77" s="17"/>
    </row>
    <row r="78" spans="1:1" ht="15" customHeight="1" x14ac:dyDescent="0.25">
      <c r="A78" s="19" t="s">
        <v>71</v>
      </c>
    </row>
    <row r="98" spans="1:1" x14ac:dyDescent="0.25">
      <c r="A98" s="18" t="s">
        <v>72</v>
      </c>
    </row>
    <row r="100" spans="1:1" x14ac:dyDescent="0.25">
      <c r="A100" t="s">
        <v>80</v>
      </c>
    </row>
  </sheetData>
  <pageMargins left="0.25" right="0.25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04"/>
  <sheetViews>
    <sheetView tabSelected="1" zoomScale="90" zoomScaleNormal="90" workbookViewId="0">
      <selection activeCell="A13" sqref="A13"/>
    </sheetView>
  </sheetViews>
  <sheetFormatPr defaultRowHeight="15" x14ac:dyDescent="0.25"/>
  <cols>
    <col min="1" max="1" width="25" customWidth="1"/>
    <col min="2" max="21" width="18.7109375" customWidth="1"/>
  </cols>
  <sheetData>
    <row r="1" spans="1:16" ht="24.75" customHeight="1" x14ac:dyDescent="0.25">
      <c r="A1" s="21" t="s">
        <v>83</v>
      </c>
      <c r="B1" t="str">
        <f>MID(A1,1,2)</f>
        <v>20</v>
      </c>
      <c r="C1" t="str">
        <f>MID(A1,3,8)</f>
        <v>9c326ad2</v>
      </c>
      <c r="D1" t="str">
        <f>MID(A1,11,8)</f>
        <v>573de4c2</v>
      </c>
      <c r="E1" t="str">
        <f>MID(A1,19,2)</f>
        <v>0d</v>
      </c>
    </row>
    <row r="2" spans="1:16" x14ac:dyDescent="0.25">
      <c r="C2" t="str">
        <f>Reverse_Word_All(C1)</f>
        <v>d26a329c</v>
      </c>
      <c r="D2" t="str">
        <f>Reverse_Word_All(D1)</f>
        <v>c2e43d57</v>
      </c>
    </row>
    <row r="3" spans="1:16" x14ac:dyDescent="0.25">
      <c r="C3">
        <f>HEX2DEC(C2)</f>
        <v>3530175132</v>
      </c>
      <c r="D3">
        <f>HEX2DEC(D2)</f>
        <v>3269737815</v>
      </c>
    </row>
    <row r="4" spans="1:16" x14ac:dyDescent="0.25">
      <c r="K4" t="b">
        <f>Приход_пакеты!C13=Reverse_Word_All(J4)</f>
        <v>0</v>
      </c>
    </row>
    <row r="5" spans="1:16" ht="15.75" thickBot="1" x14ac:dyDescent="0.3"/>
    <row r="6" spans="1:16" ht="40.5" x14ac:dyDescent="0.25">
      <c r="A6" s="21" t="s">
        <v>86</v>
      </c>
      <c r="B6" t="str">
        <f>MID(A6,1,8)</f>
        <v>9bddf89a</v>
      </c>
      <c r="C6" t="str">
        <f>MID(A6,9,4)</f>
        <v>0700</v>
      </c>
      <c r="D6" t="str">
        <f>MID(A6,11,4)</f>
        <v>0001</v>
      </c>
      <c r="E6" t="str">
        <f>MID(A6,19,2)</f>
        <v>01</v>
      </c>
    </row>
    <row r="7" spans="1:16" x14ac:dyDescent="0.25">
      <c r="B7" t="str">
        <f>Reverse_Word_All(B6)</f>
        <v>9af8dd9b</v>
      </c>
      <c r="C7" t="str">
        <f>Reverse_Word_All(C6)</f>
        <v>0007</v>
      </c>
      <c r="D7" t="str">
        <f>Reverse_Word_All(D6)</f>
        <v>0100</v>
      </c>
    </row>
    <row r="8" spans="1:16" x14ac:dyDescent="0.25">
      <c r="B8">
        <f>HEX2DEC(B7)</f>
        <v>2600000923</v>
      </c>
      <c r="C8">
        <f>HEX2DEC(C7)</f>
        <v>7</v>
      </c>
      <c r="D8">
        <f>HEX2DEC(D7)</f>
        <v>256</v>
      </c>
    </row>
    <row r="9" spans="1:16" ht="15.75" thickBot="1" x14ac:dyDescent="0.3"/>
    <row r="10" spans="1:16" ht="15.75" thickBot="1" x14ac:dyDescent="0.3">
      <c r="B10" s="67" t="s">
        <v>114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8"/>
    </row>
    <row r="11" spans="1:16" ht="30.75" thickBot="1" x14ac:dyDescent="0.3">
      <c r="B11" s="38" t="s">
        <v>18</v>
      </c>
      <c r="C11" s="38" t="s">
        <v>93</v>
      </c>
      <c r="D11" s="38" t="s">
        <v>97</v>
      </c>
      <c r="E11" s="38" t="s">
        <v>109</v>
      </c>
      <c r="F11" s="38" t="s">
        <v>98</v>
      </c>
      <c r="G11" s="38" t="s">
        <v>99</v>
      </c>
      <c r="H11" s="38" t="s">
        <v>100</v>
      </c>
      <c r="I11" s="38" t="s">
        <v>101</v>
      </c>
      <c r="J11" s="38" t="s">
        <v>103</v>
      </c>
      <c r="K11" s="38" t="s">
        <v>102</v>
      </c>
      <c r="L11" s="38" t="s">
        <v>104</v>
      </c>
      <c r="M11" s="38" t="s">
        <v>105</v>
      </c>
      <c r="N11" s="38" t="s">
        <v>106</v>
      </c>
      <c r="O11" s="38" t="s">
        <v>107</v>
      </c>
      <c r="P11" s="38" t="s">
        <v>108</v>
      </c>
    </row>
    <row r="12" spans="1:16" x14ac:dyDescent="0.25">
      <c r="A12" s="54" t="s">
        <v>170</v>
      </c>
      <c r="B12" s="22" t="str">
        <f>MID($A12,1,2)</f>
        <v>01</v>
      </c>
      <c r="C12" s="22" t="str">
        <f>MID($A12,3,8)</f>
        <v>07000000</v>
      </c>
      <c r="D12" s="22" t="str">
        <f>MID($A12,11,8)</f>
        <v>9943e15d</v>
      </c>
      <c r="E12" s="22" t="str">
        <f>MID($A12,19,2)</f>
        <v>05</v>
      </c>
      <c r="F12" s="22" t="str">
        <f>MID($A12,21,2)</f>
        <v>01</v>
      </c>
      <c r="G12" s="22" t="str">
        <f>MID($A12,23,2)</f>
        <v>ff</v>
      </c>
      <c r="H12" s="22" t="str">
        <f>MID($A12,25,2)</f>
        <v>01</v>
      </c>
      <c r="I12" s="22" t="str">
        <f>MID($A12,27,8)</f>
        <v>80436d38</v>
      </c>
      <c r="J12" s="22" t="str">
        <f>MID($A12,35,8)</f>
        <v>0b000000</v>
      </c>
      <c r="K12" s="22" t="str">
        <f>MID($A12,43,4)</f>
        <v>ffff</v>
      </c>
      <c r="L12" s="22" t="str">
        <f>MID($A12,47,8)</f>
        <v>fa000000</v>
      </c>
      <c r="M12" s="22" t="str">
        <f>MID($A12,55,2)</f>
        <v>21</v>
      </c>
      <c r="N12" s="22" t="str">
        <f>MID($A12,57,8)</f>
        <v>07000000</v>
      </c>
      <c r="O12" s="22" t="str">
        <f>MID($A12,65,4)</f>
        <v>1400</v>
      </c>
      <c r="P12" s="22" t="str">
        <f>MID($A12,69,4)</f>
        <v>0000</v>
      </c>
    </row>
    <row r="13" spans="1:16" x14ac:dyDescent="0.25">
      <c r="B13" s="22" t="str">
        <f t="shared" ref="B13:P13" si="0">Reverse_Word_All(B12)</f>
        <v>01</v>
      </c>
      <c r="C13" s="22" t="str">
        <f>Reverse_Word_All(C12)</f>
        <v>00000007</v>
      </c>
      <c r="D13" s="22" t="str">
        <f t="shared" si="0"/>
        <v>5de14399</v>
      </c>
      <c r="E13" s="22" t="str">
        <f t="shared" si="0"/>
        <v>05</v>
      </c>
      <c r="F13" s="22" t="str">
        <f t="shared" si="0"/>
        <v>01</v>
      </c>
      <c r="G13" s="22" t="str">
        <f t="shared" si="0"/>
        <v>ff</v>
      </c>
      <c r="H13" s="22" t="str">
        <f t="shared" si="0"/>
        <v>01</v>
      </c>
      <c r="I13" s="22" t="str">
        <f t="shared" si="0"/>
        <v>386d4380</v>
      </c>
      <c r="J13" s="22" t="str">
        <f t="shared" si="0"/>
        <v>0000000b</v>
      </c>
      <c r="K13" s="22" t="str">
        <f t="shared" si="0"/>
        <v>ffff</v>
      </c>
      <c r="L13" s="22" t="str">
        <f t="shared" si="0"/>
        <v>000000fa</v>
      </c>
      <c r="M13" s="22" t="str">
        <f t="shared" si="0"/>
        <v>21</v>
      </c>
      <c r="N13" s="22" t="str">
        <f t="shared" si="0"/>
        <v>00000007</v>
      </c>
      <c r="O13" s="22" t="str">
        <f t="shared" si="0"/>
        <v>0014</v>
      </c>
      <c r="P13" s="22" t="str">
        <f t="shared" si="0"/>
        <v>0000</v>
      </c>
    </row>
    <row r="14" spans="1:16" x14ac:dyDescent="0.25">
      <c r="B14" s="22"/>
      <c r="C14" s="22"/>
      <c r="D14" s="22">
        <f>HEX2DEC(D13)</f>
        <v>1575043993</v>
      </c>
      <c r="E14" s="22"/>
      <c r="F14" s="22"/>
      <c r="G14" s="22"/>
      <c r="H14" s="22"/>
      <c r="I14" s="22">
        <f>HEX2DEC(I13)</f>
        <v>946684800</v>
      </c>
      <c r="J14" s="22"/>
      <c r="K14" s="22"/>
      <c r="L14" s="22"/>
      <c r="M14" s="22"/>
      <c r="N14" s="22"/>
      <c r="O14" s="22"/>
      <c r="P14" s="22"/>
    </row>
    <row r="15" spans="1:16" x14ac:dyDescent="0.25">
      <c r="B15" s="22"/>
      <c r="C15" s="22"/>
      <c r="D15" s="22">
        <f>FLOOR(D14/24/3600,1)</f>
        <v>18229</v>
      </c>
      <c r="E15" s="22"/>
      <c r="F15" s="22"/>
      <c r="G15" s="22"/>
      <c r="H15" s="22"/>
      <c r="I15" s="22">
        <f>FLOOR(I14/24/3600,1)</f>
        <v>10957</v>
      </c>
      <c r="J15" s="22"/>
      <c r="K15" s="22"/>
      <c r="L15" s="22"/>
      <c r="M15" s="22"/>
      <c r="N15" s="22"/>
      <c r="O15" s="22"/>
      <c r="P15" s="22"/>
    </row>
    <row r="16" spans="1:16" x14ac:dyDescent="0.25">
      <c r="B16" s="22"/>
      <c r="C16" s="22"/>
      <c r="D16" s="23">
        <f>DATE(1970,1,1)+D15</f>
        <v>43798</v>
      </c>
      <c r="E16" s="22"/>
      <c r="F16" s="22"/>
      <c r="G16" s="22"/>
      <c r="H16" s="22"/>
      <c r="I16" s="23">
        <f>DATE(1970,1,1)+I15</f>
        <v>36526</v>
      </c>
      <c r="J16" s="22"/>
      <c r="K16" s="22"/>
      <c r="L16" s="22"/>
      <c r="M16" s="22"/>
      <c r="N16" s="22"/>
      <c r="O16" s="22"/>
      <c r="P16" s="22"/>
    </row>
    <row r="17" spans="1:21" x14ac:dyDescent="0.25">
      <c r="B17" s="22"/>
      <c r="C17" s="22"/>
      <c r="D17" s="22">
        <f>D14-D15*24*3600</f>
        <v>58393</v>
      </c>
      <c r="E17" s="22"/>
      <c r="F17" s="22"/>
      <c r="G17" s="22"/>
      <c r="H17" s="22"/>
      <c r="I17" s="22">
        <f>I14-I15*24*3600</f>
        <v>0</v>
      </c>
      <c r="J17" s="22"/>
      <c r="K17" s="22"/>
      <c r="L17" s="22"/>
      <c r="M17" s="22"/>
      <c r="N17" s="22"/>
      <c r="O17" s="22"/>
      <c r="P17" s="22"/>
    </row>
    <row r="18" spans="1:21" x14ac:dyDescent="0.25">
      <c r="B18" s="22"/>
      <c r="C18" s="22"/>
      <c r="D18" s="22">
        <f>FLOOR(D17/3600,1)</f>
        <v>16</v>
      </c>
      <c r="E18" s="22"/>
      <c r="F18" s="22"/>
      <c r="G18" s="22"/>
      <c r="H18" s="22"/>
      <c r="I18" s="22">
        <f>FLOOR(I17/3600,1)</f>
        <v>0</v>
      </c>
      <c r="J18" s="22"/>
      <c r="K18" s="22"/>
      <c r="L18" s="22"/>
      <c r="M18" s="22"/>
      <c r="N18" s="22"/>
      <c r="O18" s="22"/>
      <c r="P18" s="22"/>
    </row>
    <row r="19" spans="1:21" x14ac:dyDescent="0.25">
      <c r="B19" s="22"/>
      <c r="C19" s="22"/>
      <c r="D19" s="22">
        <f>FLOOR((D17-D18*3600)/60,1)</f>
        <v>13</v>
      </c>
      <c r="E19" s="22"/>
      <c r="F19" s="22"/>
      <c r="G19" s="22"/>
      <c r="H19" s="22"/>
      <c r="I19" s="22">
        <f>FLOOR((I17-I18*3600)/60,1)</f>
        <v>0</v>
      </c>
      <c r="J19" s="22"/>
      <c r="K19" s="22"/>
      <c r="L19" s="22"/>
      <c r="M19" s="22"/>
      <c r="N19" s="22"/>
      <c r="O19" s="22"/>
      <c r="P19" s="22"/>
    </row>
    <row r="20" spans="1:21" x14ac:dyDescent="0.25">
      <c r="B20" s="22"/>
      <c r="C20" s="22"/>
      <c r="D20" s="22">
        <f>FLOOR((D17-D18*3600-D19*60),1)</f>
        <v>13</v>
      </c>
      <c r="E20" s="22"/>
      <c r="F20" s="22"/>
      <c r="G20" s="22"/>
      <c r="H20" s="22"/>
      <c r="I20" s="22">
        <f>FLOOR((I17-I18*3600-I19*60),1)</f>
        <v>0</v>
      </c>
      <c r="J20" s="22"/>
      <c r="K20" s="22"/>
      <c r="L20" s="22"/>
      <c r="M20" s="22"/>
      <c r="N20" s="22"/>
      <c r="O20" s="22"/>
      <c r="P20" s="22"/>
    </row>
    <row r="21" spans="1:21" ht="15.75" thickBot="1" x14ac:dyDescent="0.3">
      <c r="B21" s="22"/>
      <c r="C21" s="22"/>
      <c r="D21" s="24">
        <f>TIME(D18,D19,D20)</f>
        <v>0.67584490740740744</v>
      </c>
      <c r="E21" s="22"/>
      <c r="F21" s="22"/>
      <c r="G21" s="22"/>
      <c r="H21" s="22"/>
      <c r="I21" s="24">
        <f>TIME(I18,I19,I20)</f>
        <v>0</v>
      </c>
      <c r="J21" s="22"/>
      <c r="K21" s="22"/>
      <c r="L21" s="22"/>
      <c r="M21" s="22"/>
      <c r="N21" s="22"/>
      <c r="O21" s="22"/>
      <c r="P21" s="22"/>
    </row>
    <row r="22" spans="1:21" ht="15.75" thickBot="1" x14ac:dyDescent="0.3">
      <c r="B22" s="25">
        <f>IF(B13="ff","не поддерживается",HEX2DEC(B13))</f>
        <v>1</v>
      </c>
      <c r="C22" s="25">
        <f>IF(C13="ffffffff","не поддерживается",HEX2DEC(C13))</f>
        <v>7</v>
      </c>
      <c r="D22" s="26">
        <f>IF(C13="ffffffff","не поддерживается",D16+D21)</f>
        <v>43798.675844907404</v>
      </c>
      <c r="E22" s="25">
        <f>IF(E13="ff","не поддерживается",HEX2DEC(E13))</f>
        <v>5</v>
      </c>
      <c r="F22" s="25">
        <f>IF(F13="ff","не поддерживается",HEX2DEC(F13))</f>
        <v>1</v>
      </c>
      <c r="G22" s="25" t="str">
        <f>IF(G13="ff","не поддерживается",HEX2DEC(G13))</f>
        <v>не поддерживается</v>
      </c>
      <c r="H22" s="25">
        <f>IF(H13="ff","не поддерживается",HEX2DEC(H13))</f>
        <v>1</v>
      </c>
      <c r="I22" s="26">
        <f>I16+I21</f>
        <v>36526</v>
      </c>
      <c r="J22" s="25">
        <f>IF(J13="ffffffff","не поддерживается",HEX2DEC(J13))</f>
        <v>11</v>
      </c>
      <c r="K22" s="25" t="str">
        <f>IF(K13="ffff","не поддерживается",HEX2DEC(K13))</f>
        <v>не поддерживается</v>
      </c>
      <c r="L22" s="25">
        <f>IF(L13="ffffffff","не поддерживается",HEX2DEC(L13))</f>
        <v>250</v>
      </c>
      <c r="M22" s="25">
        <f>IF(M13="ff","не поддерживается",HEX2DEC(M13))</f>
        <v>33</v>
      </c>
      <c r="N22" s="25">
        <f>IF(N13="ffffffff","не поддерживается",HEX2DEC(N13))</f>
        <v>7</v>
      </c>
      <c r="O22" s="25">
        <f>IF(O13="ffff","не поддерживается",HEX2DEC(O13))</f>
        <v>20</v>
      </c>
      <c r="P22" s="25">
        <f>IF(P13="ffff","не поддерживается",HEX2DEC(P13))</f>
        <v>0</v>
      </c>
    </row>
    <row r="23" spans="1:21" ht="15.75" thickBot="1" x14ac:dyDescent="0.3"/>
    <row r="24" spans="1:21" ht="15.75" thickBot="1" x14ac:dyDescent="0.3">
      <c r="B24" s="67" t="s">
        <v>113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8"/>
    </row>
    <row r="25" spans="1:21" ht="15.75" thickBot="1" x14ac:dyDescent="0.3">
      <c r="B25" s="39" t="s">
        <v>18</v>
      </c>
      <c r="C25" s="39" t="s">
        <v>93</v>
      </c>
      <c r="D25" s="39" t="s">
        <v>97</v>
      </c>
      <c r="E25" s="39" t="s">
        <v>98</v>
      </c>
      <c r="F25" s="39" t="s">
        <v>133</v>
      </c>
      <c r="G25" s="39" t="s">
        <v>134</v>
      </c>
      <c r="H25" s="39" t="s">
        <v>135</v>
      </c>
      <c r="I25" s="39" t="s">
        <v>136</v>
      </c>
      <c r="J25" s="39" t="s">
        <v>137</v>
      </c>
      <c r="K25" s="39" t="s">
        <v>138</v>
      </c>
      <c r="L25" s="39" t="s">
        <v>139</v>
      </c>
      <c r="M25" s="39" t="s">
        <v>140</v>
      </c>
      <c r="N25" s="39" t="s">
        <v>141</v>
      </c>
      <c r="O25" s="39" t="s">
        <v>142</v>
      </c>
      <c r="P25" s="39" t="s">
        <v>143</v>
      </c>
      <c r="Q25" s="40" t="s">
        <v>144</v>
      </c>
      <c r="R25" s="40" t="s">
        <v>110</v>
      </c>
      <c r="S25" s="40" t="s">
        <v>111</v>
      </c>
      <c r="T25" s="40" t="s">
        <v>112</v>
      </c>
      <c r="U25" s="41" t="s">
        <v>1</v>
      </c>
    </row>
    <row r="26" spans="1:21" x14ac:dyDescent="0.25">
      <c r="A26" s="51"/>
      <c r="B26" s="22" t="str">
        <f>MID($A26,1,2)</f>
        <v/>
      </c>
      <c r="C26" s="22" t="str">
        <f>MID($A26,3,8)</f>
        <v/>
      </c>
      <c r="D26" s="22" t="str">
        <f>MID($A26,11,8)</f>
        <v/>
      </c>
      <c r="E26" s="22" t="str">
        <f>MID($A26,19,2)</f>
        <v/>
      </c>
      <c r="F26" s="22" t="str">
        <f>MID($A26,21,4)</f>
        <v/>
      </c>
      <c r="G26" s="22" t="str">
        <f>MID($A26,25,4)</f>
        <v/>
      </c>
      <c r="H26" s="22" t="str">
        <f>MID($A26,29,4)</f>
        <v/>
      </c>
      <c r="I26" s="22" t="str">
        <f>MID($A26,33,4)</f>
        <v/>
      </c>
      <c r="J26" s="22" t="str">
        <f>MID($A26,37,4)</f>
        <v/>
      </c>
      <c r="K26" s="22" t="str">
        <f>MID($A26,41,4)</f>
        <v/>
      </c>
      <c r="L26" s="22" t="str">
        <f>MID($A26,45,8)</f>
        <v/>
      </c>
      <c r="M26" s="22" t="str">
        <f>MID($A26,53,8)</f>
        <v/>
      </c>
      <c r="N26" s="22" t="str">
        <f>MID($A26,61,8)</f>
        <v/>
      </c>
      <c r="O26" s="22" t="str">
        <f>MID($A26,69,8)</f>
        <v/>
      </c>
      <c r="P26" s="22" t="str">
        <f>MID($A26,77,8)</f>
        <v/>
      </c>
      <c r="Q26" s="30" t="str">
        <f>MID($A26,75,8)</f>
        <v/>
      </c>
      <c r="R26" s="30" t="str">
        <f>MID($A26,93,2)</f>
        <v/>
      </c>
      <c r="S26" s="30" t="str">
        <f>MID($A26,95,2)</f>
        <v/>
      </c>
      <c r="T26" s="30" t="str">
        <f>MID($A26,97,2)</f>
        <v/>
      </c>
      <c r="U26" s="30" t="str">
        <f>MID($A26,99,4)</f>
        <v/>
      </c>
    </row>
    <row r="27" spans="1:21" x14ac:dyDescent="0.25">
      <c r="B27" s="22" t="str">
        <f t="shared" ref="B27:U27" si="1">Reverse_Word_All(B26)</f>
        <v/>
      </c>
      <c r="C27" s="22" t="str">
        <f t="shared" si="1"/>
        <v/>
      </c>
      <c r="D27" s="22" t="str">
        <f t="shared" si="1"/>
        <v/>
      </c>
      <c r="E27" s="22" t="str">
        <f t="shared" si="1"/>
        <v/>
      </c>
      <c r="F27" s="22" t="str">
        <f t="shared" si="1"/>
        <v/>
      </c>
      <c r="G27" s="22" t="str">
        <f t="shared" si="1"/>
        <v/>
      </c>
      <c r="H27" s="22" t="str">
        <f t="shared" si="1"/>
        <v/>
      </c>
      <c r="I27" s="22" t="str">
        <f t="shared" si="1"/>
        <v/>
      </c>
      <c r="J27" s="22" t="str">
        <f t="shared" si="1"/>
        <v/>
      </c>
      <c r="K27" s="22" t="str">
        <f t="shared" si="1"/>
        <v/>
      </c>
      <c r="L27" s="22" t="str">
        <f t="shared" si="1"/>
        <v/>
      </c>
      <c r="M27" s="22" t="str">
        <f t="shared" si="1"/>
        <v/>
      </c>
      <c r="N27" s="22" t="str">
        <f t="shared" si="1"/>
        <v/>
      </c>
      <c r="O27" s="22" t="str">
        <f t="shared" si="1"/>
        <v/>
      </c>
      <c r="P27" s="22" t="str">
        <f t="shared" si="1"/>
        <v/>
      </c>
      <c r="Q27" s="22" t="str">
        <f t="shared" si="1"/>
        <v/>
      </c>
      <c r="R27" s="22" t="str">
        <f t="shared" si="1"/>
        <v/>
      </c>
      <c r="S27" s="22" t="str">
        <f t="shared" si="1"/>
        <v/>
      </c>
      <c r="T27" s="22" t="str">
        <f t="shared" si="1"/>
        <v/>
      </c>
      <c r="U27" s="22" t="str">
        <f t="shared" si="1"/>
        <v/>
      </c>
    </row>
    <row r="28" spans="1:21" x14ac:dyDescent="0.25">
      <c r="B28" s="22"/>
      <c r="C28" s="22"/>
      <c r="D28" s="22">
        <f>HEX2DEC(D27)</f>
        <v>0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x14ac:dyDescent="0.25">
      <c r="B29" s="22"/>
      <c r="C29" s="22"/>
      <c r="D29" s="22">
        <f>FLOOR(D28/24/3600,1)</f>
        <v>0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x14ac:dyDescent="0.25">
      <c r="B30" s="22"/>
      <c r="C30" s="22"/>
      <c r="D30" s="23">
        <f>DATE(1970,1,1)+D29</f>
        <v>25569</v>
      </c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x14ac:dyDescent="0.25">
      <c r="B31" s="22"/>
      <c r="C31" s="22"/>
      <c r="D31" s="22">
        <f>D28-D29*24*3600</f>
        <v>0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x14ac:dyDescent="0.25">
      <c r="B32" s="22"/>
      <c r="C32" s="22"/>
      <c r="D32" s="22">
        <f>FLOOR(D31/3600,1)</f>
        <v>0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x14ac:dyDescent="0.25">
      <c r="B33" s="22"/>
      <c r="C33" s="22"/>
      <c r="D33" s="22">
        <f>FLOOR((D31-D32*3600)/60,1)</f>
        <v>0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x14ac:dyDescent="0.25">
      <c r="B34" s="22"/>
      <c r="C34" s="22"/>
      <c r="D34" s="22">
        <f>FLOOR((D31-D32*3600-D33*60),1)</f>
        <v>0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ht="15.75" thickBot="1" x14ac:dyDescent="0.3">
      <c r="B35" s="22"/>
      <c r="C35" s="22"/>
      <c r="D35" s="24">
        <f>TIME(D32,D33,D34)</f>
        <v>0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ht="15.75" thickBot="1" x14ac:dyDescent="0.3">
      <c r="B36" s="25">
        <f>IF(B27="ff","не поддерживается",HEX2DEC(B27))</f>
        <v>0</v>
      </c>
      <c r="C36" s="25">
        <f>IF(C27="ffffffff","не поддерживается",HEX2DEC(C27))</f>
        <v>0</v>
      </c>
      <c r="D36" s="26">
        <f>IF(C27="ffffffff","не поддерживается",D30+D35)</f>
        <v>25569</v>
      </c>
      <c r="E36" s="25">
        <f>IF(E27="ff","не поддерживается",HEX2DEC(E27))</f>
        <v>0</v>
      </c>
      <c r="F36" s="25">
        <f t="shared" ref="F36:K36" si="2">IF(F27="ffff","не поддерживается",HEX2DEC(F27))</f>
        <v>0</v>
      </c>
      <c r="G36" s="25">
        <f t="shared" si="2"/>
        <v>0</v>
      </c>
      <c r="H36" s="25">
        <f t="shared" si="2"/>
        <v>0</v>
      </c>
      <c r="I36" s="25">
        <f t="shared" si="2"/>
        <v>0</v>
      </c>
      <c r="J36" s="25">
        <f t="shared" si="2"/>
        <v>0</v>
      </c>
      <c r="K36" s="25">
        <f t="shared" si="2"/>
        <v>0</v>
      </c>
      <c r="L36" s="25">
        <f t="shared" ref="L36:Q36" si="3">IF(L27="ffffffff","не поддерживается",HEX2DEC(L27))</f>
        <v>0</v>
      </c>
      <c r="M36" s="25">
        <f t="shared" si="3"/>
        <v>0</v>
      </c>
      <c r="N36" s="25">
        <f t="shared" si="3"/>
        <v>0</v>
      </c>
      <c r="O36" s="25">
        <f t="shared" si="3"/>
        <v>0</v>
      </c>
      <c r="P36" s="25">
        <f t="shared" si="3"/>
        <v>0</v>
      </c>
      <c r="Q36" s="25">
        <f t="shared" si="3"/>
        <v>0</v>
      </c>
      <c r="R36" s="25">
        <f>IF(R27="ff","не поддерживается",HEX2DEC(R27))</f>
        <v>0</v>
      </c>
      <c r="S36" s="25">
        <f>IF(S27="ff","не поддерживается",HEX2DEC(S27))</f>
        <v>0</v>
      </c>
      <c r="T36" s="25">
        <f>IF(T27="ff","не поддерживается",HEX2DEC(T27))</f>
        <v>0</v>
      </c>
      <c r="U36" s="25">
        <f>IF(U27="ffff","не поддерживается",HEX2DEC(U27))</f>
        <v>0</v>
      </c>
    </row>
    <row r="37" spans="1:21" ht="15.75" thickBot="1" x14ac:dyDescent="0.3"/>
    <row r="38" spans="1:21" ht="15.75" thickBot="1" x14ac:dyDescent="0.3">
      <c r="B38" s="67" t="s">
        <v>115</v>
      </c>
      <c r="C38" s="69"/>
      <c r="D38" s="69"/>
      <c r="E38" s="69"/>
      <c r="F38" s="69"/>
      <c r="G38" s="68"/>
      <c r="H38" s="36"/>
      <c r="I38" s="36"/>
      <c r="J38" s="36"/>
      <c r="K38" s="36"/>
      <c r="L38" s="36"/>
      <c r="M38" s="36"/>
      <c r="N38" s="36"/>
      <c r="O38" s="36"/>
      <c r="P38" s="36"/>
    </row>
    <row r="39" spans="1:21" ht="60.75" thickBot="1" x14ac:dyDescent="0.3">
      <c r="B39" s="38" t="s">
        <v>18</v>
      </c>
      <c r="C39" s="38" t="s">
        <v>125</v>
      </c>
      <c r="D39" s="38" t="s">
        <v>126</v>
      </c>
      <c r="E39" s="38" t="s">
        <v>127</v>
      </c>
      <c r="F39" s="38" t="s">
        <v>129</v>
      </c>
      <c r="G39" s="38" t="s">
        <v>128</v>
      </c>
      <c r="H39" s="43"/>
      <c r="I39" s="43"/>
      <c r="J39" s="43"/>
      <c r="K39" s="43"/>
      <c r="L39" s="43"/>
      <c r="M39" s="43"/>
      <c r="N39" s="33"/>
      <c r="O39" s="33"/>
      <c r="P39" s="33"/>
    </row>
    <row r="40" spans="1:21" x14ac:dyDescent="0.25">
      <c r="A40" s="52"/>
      <c r="B40" s="22" t="str">
        <f>MID($A40,1,2)</f>
        <v/>
      </c>
      <c r="C40" s="22" t="str">
        <f>MID($A40,3,4)</f>
        <v/>
      </c>
      <c r="D40" s="22" t="str">
        <f>MID($A40,7,2)</f>
        <v/>
      </c>
      <c r="E40" s="22" t="str">
        <f>MID($A40,9,2)</f>
        <v/>
      </c>
      <c r="F40" s="22" t="str">
        <f>MID($A40,11,2)</f>
        <v/>
      </c>
      <c r="G40" s="22" t="str">
        <f>MID($A40,13,82)</f>
        <v/>
      </c>
      <c r="H40" s="34"/>
      <c r="I40" s="34"/>
      <c r="J40" s="34"/>
      <c r="K40" s="34"/>
      <c r="L40" s="34"/>
      <c r="M40" s="34"/>
      <c r="N40" s="34"/>
      <c r="O40" s="34"/>
      <c r="P40" s="34"/>
    </row>
    <row r="41" spans="1:21" ht="15.75" thickBot="1" x14ac:dyDescent="0.3">
      <c r="B41" s="22" t="str">
        <f t="shared" ref="B41:G41" si="4">Reverse_Word_All(B40)</f>
        <v/>
      </c>
      <c r="C41" s="22" t="str">
        <f t="shared" si="4"/>
        <v/>
      </c>
      <c r="D41" s="22" t="str">
        <f t="shared" si="4"/>
        <v/>
      </c>
      <c r="E41" s="22" t="str">
        <f t="shared" si="4"/>
        <v/>
      </c>
      <c r="F41" s="22" t="str">
        <f t="shared" si="4"/>
        <v/>
      </c>
      <c r="G41" s="22" t="str">
        <f t="shared" si="4"/>
        <v/>
      </c>
      <c r="H41" s="34"/>
      <c r="I41" s="34"/>
      <c r="J41" s="34"/>
      <c r="K41" s="34"/>
      <c r="L41" s="34"/>
      <c r="M41" s="34"/>
      <c r="N41" s="34"/>
      <c r="O41" s="34"/>
      <c r="P41" s="34"/>
    </row>
    <row r="42" spans="1:21" ht="15.75" thickBot="1" x14ac:dyDescent="0.3">
      <c r="B42" s="25">
        <f>IF(B41="ff","не поддерживается",HEX2DEC(B41))</f>
        <v>0</v>
      </c>
      <c r="C42" s="25">
        <f>IF(C33="ffff","не поддерживается",HEX2DEC(C33))</f>
        <v>0</v>
      </c>
      <c r="D42" s="25">
        <f>IF(D41="ff","не поддерживается",HEX2DEC(D41))</f>
        <v>0</v>
      </c>
      <c r="E42" s="25">
        <f>IF(E41="ff","не поддерживается",HEX2DEC(E41))</f>
        <v>0</v>
      </c>
      <c r="F42" s="25">
        <f>IF(F41="ff","не поддерживается",HEX2DEC(F41))</f>
        <v>0</v>
      </c>
      <c r="G42" s="25">
        <f>IF(G41="ff","не поддерживается",HEX2DEC(G41))</f>
        <v>0</v>
      </c>
      <c r="H42" s="35"/>
      <c r="I42" s="35"/>
      <c r="J42" s="35"/>
      <c r="K42" s="35"/>
      <c r="L42" s="37"/>
      <c r="M42" s="35"/>
      <c r="N42" s="35" t="str">
        <f t="shared" ref="N42:P42" si="5">Reverse_Word_All(N40)</f>
        <v/>
      </c>
      <c r="O42" s="35" t="str">
        <f t="shared" si="5"/>
        <v/>
      </c>
      <c r="P42" s="35" t="str">
        <f t="shared" si="5"/>
        <v/>
      </c>
    </row>
    <row r="43" spans="1:21" ht="15.75" thickBot="1" x14ac:dyDescent="0.3"/>
    <row r="44" spans="1:21" ht="15.75" thickBot="1" x14ac:dyDescent="0.3">
      <c r="B44" s="67" t="s">
        <v>116</v>
      </c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8"/>
      <c r="N44" s="36"/>
      <c r="O44" s="36"/>
      <c r="P44" s="36"/>
    </row>
    <row r="45" spans="1:21" ht="30.75" thickBot="1" x14ac:dyDescent="0.3">
      <c r="B45" s="38" t="s">
        <v>18</v>
      </c>
      <c r="C45" s="38" t="s">
        <v>93</v>
      </c>
      <c r="D45" s="38" t="s">
        <v>131</v>
      </c>
      <c r="E45" s="38" t="s">
        <v>99</v>
      </c>
      <c r="F45" s="38" t="s">
        <v>118</v>
      </c>
      <c r="G45" s="38" t="s">
        <v>119</v>
      </c>
      <c r="H45" s="38" t="s">
        <v>120</v>
      </c>
      <c r="I45" s="38" t="s">
        <v>121</v>
      </c>
      <c r="J45" s="38" t="s">
        <v>122</v>
      </c>
      <c r="K45" s="38" t="s">
        <v>123</v>
      </c>
      <c r="L45" s="38" t="s">
        <v>124</v>
      </c>
      <c r="M45" s="38" t="s">
        <v>1</v>
      </c>
      <c r="N45" s="33"/>
      <c r="O45" s="33"/>
      <c r="P45" s="33"/>
    </row>
    <row r="46" spans="1:21" x14ac:dyDescent="0.25">
      <c r="A46" s="53" t="s">
        <v>169</v>
      </c>
      <c r="B46" s="22" t="str">
        <f>MID($A46,1,2)</f>
        <v>04</v>
      </c>
      <c r="C46" s="22" t="str">
        <f>MID($A46,3,8)</f>
        <v>c9dcf89a</v>
      </c>
      <c r="D46" s="22" t="str">
        <f>MID($A46,11,8)</f>
        <v>3011f85c</v>
      </c>
      <c r="E46" s="22" t="str">
        <f>MID($A46,19,2)</f>
        <v>ff</v>
      </c>
      <c r="F46" s="22" t="str">
        <f>MID($A46,21,4)</f>
        <v>01ff</v>
      </c>
      <c r="G46" s="22" t="str">
        <f>MID($A46,25,4)</f>
        <v>ff06</v>
      </c>
      <c r="H46" s="22" t="str">
        <f>MID($A46,29,4)</f>
        <v>0900</v>
      </c>
      <c r="I46" s="22" t="str">
        <f>MID($A46,33,4)</f>
        <v>004e</v>
      </c>
      <c r="J46" s="22" t="str">
        <f>MID($A46,37,4)</f>
        <v>0700</v>
      </c>
      <c r="K46" s="22" t="str">
        <f>MID($A46,41,4)</f>
        <v>00b8</v>
      </c>
      <c r="L46" s="22" t="str">
        <f>MID($A46,47,8)</f>
        <v>00000000</v>
      </c>
      <c r="M46" s="22" t="str">
        <f>MID($A46,55,2)</f>
        <v>00</v>
      </c>
      <c r="N46" s="34"/>
      <c r="O46" s="34"/>
      <c r="P46" s="34"/>
    </row>
    <row r="47" spans="1:21" x14ac:dyDescent="0.25">
      <c r="B47" s="22" t="str">
        <f>Reverse_Word_All(B46)</f>
        <v>04</v>
      </c>
      <c r="C47" s="22" t="str">
        <f t="shared" ref="C47:M47" si="6">Reverse_Word_All(C46)</f>
        <v>9af8dcc9</v>
      </c>
      <c r="D47" s="22" t="str">
        <f t="shared" si="6"/>
        <v>5cf81130</v>
      </c>
      <c r="E47" s="22" t="str">
        <f t="shared" si="6"/>
        <v>ff</v>
      </c>
      <c r="F47" s="22" t="str">
        <f t="shared" si="6"/>
        <v>ff01</v>
      </c>
      <c r="G47" s="22" t="str">
        <f t="shared" si="6"/>
        <v>06ff</v>
      </c>
      <c r="H47" s="22" t="str">
        <f t="shared" si="6"/>
        <v>0009</v>
      </c>
      <c r="I47" s="22" t="str">
        <f t="shared" si="6"/>
        <v>4e00</v>
      </c>
      <c r="J47" s="22" t="str">
        <f t="shared" si="6"/>
        <v>0007</v>
      </c>
      <c r="K47" s="22" t="str">
        <f t="shared" si="6"/>
        <v>b800</v>
      </c>
      <c r="L47" s="22" t="str">
        <f t="shared" si="6"/>
        <v>00000000</v>
      </c>
      <c r="M47" s="22" t="str">
        <f t="shared" si="6"/>
        <v>00</v>
      </c>
      <c r="N47" s="34"/>
      <c r="O47" s="34"/>
      <c r="P47" s="34"/>
    </row>
    <row r="48" spans="1:21" x14ac:dyDescent="0.25">
      <c r="B48" s="22"/>
      <c r="C48" s="22"/>
      <c r="D48" s="22">
        <f>HEX2DEC(D47)</f>
        <v>1559761200</v>
      </c>
      <c r="E48" s="22"/>
      <c r="F48" s="22"/>
      <c r="G48" s="22"/>
      <c r="H48" s="22"/>
      <c r="I48" s="22"/>
      <c r="J48" s="22"/>
      <c r="K48" s="22"/>
      <c r="L48" s="22"/>
      <c r="M48" s="22"/>
      <c r="N48" s="34"/>
      <c r="O48" s="34"/>
      <c r="P48" s="34"/>
    </row>
    <row r="49" spans="1:17" x14ac:dyDescent="0.25">
      <c r="B49" s="22"/>
      <c r="C49" s="22"/>
      <c r="D49" s="22">
        <f>FLOOR(D48/24/3600,1)</f>
        <v>18052</v>
      </c>
      <c r="E49" s="22"/>
      <c r="F49" s="22"/>
      <c r="G49" s="22"/>
      <c r="H49" s="22"/>
      <c r="I49" s="22"/>
      <c r="J49" s="22"/>
      <c r="K49" s="22"/>
      <c r="L49" s="22"/>
      <c r="M49" s="22"/>
      <c r="N49" s="34"/>
      <c r="O49" s="34"/>
      <c r="P49" s="34"/>
    </row>
    <row r="50" spans="1:17" x14ac:dyDescent="0.25">
      <c r="B50" s="22"/>
      <c r="C50" s="22"/>
      <c r="D50" s="23">
        <f>DATE(1970,1,1)+D49</f>
        <v>43621</v>
      </c>
      <c r="E50" s="22"/>
      <c r="F50" s="22"/>
      <c r="G50" s="22"/>
      <c r="H50" s="22"/>
      <c r="I50" s="23"/>
      <c r="J50" s="22"/>
      <c r="K50" s="22"/>
      <c r="L50" s="22"/>
      <c r="M50" s="22"/>
      <c r="N50" s="34"/>
      <c r="O50" s="34"/>
      <c r="P50" s="34"/>
    </row>
    <row r="51" spans="1:17" x14ac:dyDescent="0.25">
      <c r="B51" s="22"/>
      <c r="C51" s="22"/>
      <c r="D51" s="22">
        <f>D48-D49*24*3600</f>
        <v>68400</v>
      </c>
      <c r="E51" s="22"/>
      <c r="F51" s="22"/>
      <c r="G51" s="22"/>
      <c r="H51" s="22"/>
      <c r="I51" s="22"/>
      <c r="J51" s="22"/>
      <c r="K51" s="22"/>
      <c r="L51" s="22"/>
      <c r="M51" s="22"/>
      <c r="N51" s="34"/>
      <c r="O51" s="34"/>
      <c r="P51" s="34"/>
    </row>
    <row r="52" spans="1:17" x14ac:dyDescent="0.25">
      <c r="B52" s="22"/>
      <c r="C52" s="22"/>
      <c r="D52" s="22">
        <f>FLOOR(D51/3600,1)</f>
        <v>19</v>
      </c>
      <c r="E52" s="22"/>
      <c r="F52" s="22"/>
      <c r="G52" s="22"/>
      <c r="H52" s="22"/>
      <c r="I52" s="22"/>
      <c r="J52" s="22"/>
      <c r="K52" s="22"/>
      <c r="L52" s="22"/>
      <c r="M52" s="22"/>
      <c r="N52" s="34"/>
      <c r="O52" s="34"/>
      <c r="P52" s="34"/>
    </row>
    <row r="53" spans="1:17" x14ac:dyDescent="0.25">
      <c r="B53" s="22"/>
      <c r="C53" s="22"/>
      <c r="D53" s="22">
        <f>FLOOR((D51-D52*3600)/60,1)</f>
        <v>0</v>
      </c>
      <c r="E53" s="22"/>
      <c r="F53" s="22"/>
      <c r="G53" s="22"/>
      <c r="H53" s="22"/>
      <c r="I53" s="22"/>
      <c r="J53" s="22"/>
      <c r="K53" s="22"/>
      <c r="L53" s="22"/>
      <c r="M53" s="22"/>
      <c r="N53" s="34"/>
      <c r="O53" s="34"/>
      <c r="P53" s="34"/>
    </row>
    <row r="54" spans="1:17" x14ac:dyDescent="0.25">
      <c r="B54" s="22"/>
      <c r="C54" s="22"/>
      <c r="D54" s="22">
        <f>FLOOR((D51-D52*3600-D53*60),1)</f>
        <v>0</v>
      </c>
      <c r="E54" s="22"/>
      <c r="F54" s="22"/>
      <c r="G54" s="22"/>
      <c r="H54" s="22"/>
      <c r="I54" s="22"/>
      <c r="J54" s="22"/>
      <c r="K54" s="22"/>
      <c r="L54" s="22"/>
      <c r="M54" s="22"/>
      <c r="N54" s="34"/>
      <c r="O54" s="34"/>
      <c r="P54" s="34"/>
    </row>
    <row r="55" spans="1:17" ht="15.75" thickBot="1" x14ac:dyDescent="0.3">
      <c r="B55" s="22"/>
      <c r="C55" s="22"/>
      <c r="D55" s="24">
        <f>TIME(D52,D53,D54)</f>
        <v>0.79166666666666663</v>
      </c>
      <c r="E55" s="22"/>
      <c r="F55" s="22"/>
      <c r="G55" s="22"/>
      <c r="H55" s="22"/>
      <c r="I55" s="24"/>
      <c r="J55" s="22"/>
      <c r="K55" s="22"/>
      <c r="L55" s="22"/>
      <c r="M55" s="22"/>
      <c r="N55" s="34"/>
      <c r="O55" s="34"/>
      <c r="P55" s="34"/>
    </row>
    <row r="56" spans="1:17" ht="15.75" thickBot="1" x14ac:dyDescent="0.3">
      <c r="B56" s="25">
        <f>IF(B47="ff","не поддерживается",HEX2DEC(B47))</f>
        <v>4</v>
      </c>
      <c r="C56" s="25">
        <f>IF(C47="ffffffff","не поддерживается",HEX2DEC(C47))</f>
        <v>2600000713</v>
      </c>
      <c r="D56" s="26">
        <f>IF(C47="ffffffff","не поддерживается",D50+D55)</f>
        <v>43621.791666666664</v>
      </c>
      <c r="E56" s="25" t="str">
        <f>IF(E47="ff","не поддерживается",HEX2DEC(E47))</f>
        <v>не поддерживается</v>
      </c>
      <c r="F56" s="25">
        <f>IF(F47="ff","не поддерживается",HEX2DEC(F47))</f>
        <v>65281</v>
      </c>
      <c r="G56" s="25">
        <f>IF(G47="ffff","не поддерживается",HEX2DEC(G47))</f>
        <v>1791</v>
      </c>
      <c r="H56" s="25">
        <f>IF(H47="ffffffff","не поддерживается",HEX2DEC(H47))</f>
        <v>9</v>
      </c>
      <c r="I56" s="25">
        <f>IF(I47="ffffffff","не поддерживается",HEX2DEC(I47))</f>
        <v>19968</v>
      </c>
      <c r="J56" s="25">
        <f>IF(J47="ffffffff","не поддерживается",HEX2DEC(J47))</f>
        <v>7</v>
      </c>
      <c r="K56" s="25">
        <f>IF(K47="ffffffff","не поддерживается",HEX2DEC(K47))</f>
        <v>47104</v>
      </c>
      <c r="L56" s="25">
        <f>IF(L47="ffffffff","не поддерживается",HEX2DEC(L47))</f>
        <v>0</v>
      </c>
      <c r="M56" s="25">
        <f>IF(M47="ffff","не поддерживается",HEX2DEC(M47))</f>
        <v>0</v>
      </c>
      <c r="N56" s="35"/>
      <c r="O56" s="35"/>
      <c r="P56" s="35"/>
    </row>
    <row r="57" spans="1:17" ht="15.75" thickBot="1" x14ac:dyDescent="0.3"/>
    <row r="58" spans="1:17" ht="15.75" thickBot="1" x14ac:dyDescent="0.3">
      <c r="B58" s="27" t="s">
        <v>117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9"/>
    </row>
    <row r="59" spans="1:17" ht="45.75" thickBot="1" x14ac:dyDescent="0.3">
      <c r="B59" s="38" t="s">
        <v>18</v>
      </c>
      <c r="C59" s="38" t="s">
        <v>93</v>
      </c>
      <c r="D59" s="38" t="s">
        <v>130</v>
      </c>
      <c r="E59" s="38" t="s">
        <v>132</v>
      </c>
      <c r="F59" s="38" t="s">
        <v>145</v>
      </c>
      <c r="G59" s="38" t="s">
        <v>146</v>
      </c>
      <c r="H59" s="38" t="s">
        <v>147</v>
      </c>
      <c r="I59" s="38" t="s">
        <v>148</v>
      </c>
      <c r="J59" s="38" t="s">
        <v>149</v>
      </c>
      <c r="K59" s="38" t="s">
        <v>150</v>
      </c>
      <c r="L59" s="38" t="s">
        <v>132</v>
      </c>
      <c r="M59" s="38" t="s">
        <v>145</v>
      </c>
      <c r="N59" s="38" t="s">
        <v>146</v>
      </c>
      <c r="O59" s="38" t="s">
        <v>147</v>
      </c>
      <c r="P59" s="38" t="s">
        <v>148</v>
      </c>
      <c r="Q59" s="38" t="s">
        <v>149</v>
      </c>
    </row>
    <row r="60" spans="1:17" x14ac:dyDescent="0.25">
      <c r="A60" s="52"/>
      <c r="B60" s="22" t="str">
        <f>MID($A60,1,2)</f>
        <v/>
      </c>
      <c r="C60" s="22" t="str">
        <f>MID($A60,3,8)</f>
        <v/>
      </c>
      <c r="D60" s="22" t="str">
        <f>MID($A60,11,8)</f>
        <v/>
      </c>
      <c r="E60" s="22" t="str">
        <f>MID($A60,19,2)</f>
        <v/>
      </c>
      <c r="F60" s="22" t="str">
        <f>MID($A60,21,2)</f>
        <v/>
      </c>
      <c r="G60" s="22" t="str">
        <f>MID($A60,23,8)</f>
        <v/>
      </c>
      <c r="H60" s="22" t="str">
        <f>MID($A60,31,8)</f>
        <v/>
      </c>
      <c r="I60" s="22" t="str">
        <f>MID($A60,39,8)</f>
        <v/>
      </c>
      <c r="J60" s="22" t="str">
        <f>MID($A60,47,8)</f>
        <v/>
      </c>
      <c r="K60" s="22" t="str">
        <f>MID($A60,55,8)</f>
        <v/>
      </c>
      <c r="L60" s="22" t="str">
        <f>MID($A60,19,2)</f>
        <v/>
      </c>
      <c r="M60" s="22" t="str">
        <f>MID($A60,21,2)</f>
        <v/>
      </c>
      <c r="N60" s="22" t="str">
        <f>MID($A60,23,8)</f>
        <v/>
      </c>
      <c r="O60" s="22" t="str">
        <f>MID($A60,31,8)</f>
        <v/>
      </c>
      <c r="P60" s="22" t="str">
        <f>MID($A60,39,8)</f>
        <v/>
      </c>
      <c r="Q60" s="22" t="str">
        <f>MID($A60,47,8)</f>
        <v/>
      </c>
    </row>
    <row r="61" spans="1:17" x14ac:dyDescent="0.25">
      <c r="B61" s="22" t="str">
        <f>Reverse_Word_All(B60)</f>
        <v/>
      </c>
      <c r="C61" s="22" t="str">
        <f t="shared" ref="C61:K61" si="7">Reverse_Word_All(C60)</f>
        <v/>
      </c>
      <c r="D61" s="22" t="str">
        <f t="shared" si="7"/>
        <v/>
      </c>
      <c r="E61" s="22" t="str">
        <f t="shared" si="7"/>
        <v/>
      </c>
      <c r="F61" s="22" t="str">
        <f t="shared" si="7"/>
        <v/>
      </c>
      <c r="G61" s="22" t="str">
        <f t="shared" si="7"/>
        <v/>
      </c>
      <c r="H61" s="22" t="str">
        <f t="shared" si="7"/>
        <v/>
      </c>
      <c r="I61" s="22" t="str">
        <f t="shared" si="7"/>
        <v/>
      </c>
      <c r="J61" s="22" t="str">
        <f t="shared" si="7"/>
        <v/>
      </c>
      <c r="K61" s="22" t="str">
        <f t="shared" si="7"/>
        <v/>
      </c>
      <c r="L61" s="22" t="str">
        <f t="shared" ref="L61" si="8">Reverse_Word_All(L60)</f>
        <v/>
      </c>
      <c r="M61" s="22" t="str">
        <f t="shared" ref="M61" si="9">Reverse_Word_All(M60)</f>
        <v/>
      </c>
      <c r="N61" s="22" t="str">
        <f t="shared" ref="N61" si="10">Reverse_Word_All(N60)</f>
        <v/>
      </c>
      <c r="O61" s="22" t="str">
        <f t="shared" ref="O61" si="11">Reverse_Word_All(O60)</f>
        <v/>
      </c>
      <c r="P61" s="22" t="str">
        <f t="shared" ref="P61" si="12">Reverse_Word_All(P60)</f>
        <v/>
      </c>
      <c r="Q61" s="22" t="str">
        <f t="shared" ref="Q61" si="13">Reverse_Word_All(Q60)</f>
        <v/>
      </c>
    </row>
    <row r="62" spans="1:17" x14ac:dyDescent="0.25">
      <c r="B62" s="22"/>
      <c r="C62" s="22"/>
      <c r="D62" s="22">
        <f>HEX2DEC(D61)</f>
        <v>0</v>
      </c>
      <c r="E62" s="22"/>
      <c r="F62" s="22"/>
      <c r="G62" s="22"/>
      <c r="H62" s="22"/>
      <c r="I62" s="22"/>
      <c r="J62" s="22"/>
      <c r="K62" s="22">
        <f>HEX2DEC(K61)</f>
        <v>0</v>
      </c>
      <c r="L62" s="22"/>
      <c r="M62" s="22"/>
      <c r="N62" s="22"/>
      <c r="O62" s="22"/>
      <c r="P62" s="22"/>
      <c r="Q62" s="22"/>
    </row>
    <row r="63" spans="1:17" x14ac:dyDescent="0.25">
      <c r="B63" s="22"/>
      <c r="C63" s="22"/>
      <c r="D63" s="22">
        <f>FLOOR(D62/24/3600,1)</f>
        <v>0</v>
      </c>
      <c r="E63" s="22"/>
      <c r="F63" s="22"/>
      <c r="G63" s="22"/>
      <c r="H63" s="22"/>
      <c r="I63" s="22"/>
      <c r="J63" s="22"/>
      <c r="K63" s="22">
        <f>FLOOR(K62/24/3600,1)</f>
        <v>0</v>
      </c>
      <c r="L63" s="22"/>
      <c r="M63" s="22"/>
      <c r="N63" s="22"/>
      <c r="O63" s="22"/>
      <c r="P63" s="22"/>
      <c r="Q63" s="22"/>
    </row>
    <row r="64" spans="1:17" x14ac:dyDescent="0.25">
      <c r="B64" s="22"/>
      <c r="C64" s="22"/>
      <c r="D64" s="23">
        <f>DATE(1970,1,1)+D63</f>
        <v>25569</v>
      </c>
      <c r="E64" s="22"/>
      <c r="F64" s="22"/>
      <c r="G64" s="22"/>
      <c r="H64" s="22"/>
      <c r="I64" s="23"/>
      <c r="J64" s="22"/>
      <c r="K64" s="23">
        <f>DATE(1970,1,1)+K63</f>
        <v>25569</v>
      </c>
      <c r="L64" s="22"/>
      <c r="M64" s="22"/>
      <c r="N64" s="22"/>
      <c r="O64" s="22"/>
      <c r="P64" s="23"/>
      <c r="Q64" s="22"/>
    </row>
    <row r="65" spans="1:21" x14ac:dyDescent="0.25">
      <c r="B65" s="22"/>
      <c r="C65" s="22"/>
      <c r="D65" s="22">
        <f>D62-D63*24*3600</f>
        <v>0</v>
      </c>
      <c r="E65" s="22"/>
      <c r="F65" s="22"/>
      <c r="G65" s="22"/>
      <c r="H65" s="22"/>
      <c r="I65" s="22"/>
      <c r="J65" s="22"/>
      <c r="K65" s="22">
        <f>K62-K63*24*3600</f>
        <v>0</v>
      </c>
      <c r="L65" s="22"/>
      <c r="M65" s="22"/>
      <c r="N65" s="22"/>
      <c r="O65" s="22"/>
      <c r="P65" s="22"/>
      <c r="Q65" s="22"/>
    </row>
    <row r="66" spans="1:21" x14ac:dyDescent="0.25">
      <c r="B66" s="22"/>
      <c r="C66" s="22"/>
      <c r="D66" s="22">
        <f>FLOOR(D65/3600,1)</f>
        <v>0</v>
      </c>
      <c r="E66" s="22"/>
      <c r="F66" s="22"/>
      <c r="G66" s="22"/>
      <c r="H66" s="22"/>
      <c r="I66" s="22"/>
      <c r="J66" s="22"/>
      <c r="K66" s="22">
        <f>FLOOR(K65/3600,1)</f>
        <v>0</v>
      </c>
      <c r="L66" s="22"/>
      <c r="M66" s="22"/>
      <c r="N66" s="22"/>
      <c r="O66" s="22"/>
      <c r="P66" s="22"/>
      <c r="Q66" s="22"/>
    </row>
    <row r="67" spans="1:21" x14ac:dyDescent="0.25">
      <c r="B67" s="22"/>
      <c r="C67" s="22"/>
      <c r="D67" s="22">
        <f>FLOOR((D65-D66*3600)/60,1)</f>
        <v>0</v>
      </c>
      <c r="E67" s="22"/>
      <c r="F67" s="22"/>
      <c r="G67" s="22"/>
      <c r="H67" s="22"/>
      <c r="I67" s="22"/>
      <c r="J67" s="22"/>
      <c r="K67" s="22">
        <f>FLOOR((K65-K66*3600)/60,1)</f>
        <v>0</v>
      </c>
      <c r="L67" s="22"/>
      <c r="M67" s="22"/>
      <c r="N67" s="22"/>
      <c r="O67" s="22"/>
      <c r="P67" s="22"/>
      <c r="Q67" s="22"/>
    </row>
    <row r="68" spans="1:21" x14ac:dyDescent="0.25">
      <c r="B68" s="22"/>
      <c r="C68" s="22"/>
      <c r="D68" s="22">
        <f>FLOOR((D65-D66*3600-D67*60),1)</f>
        <v>0</v>
      </c>
      <c r="E68" s="22"/>
      <c r="F68" s="22"/>
      <c r="G68" s="22"/>
      <c r="H68" s="22"/>
      <c r="I68" s="22"/>
      <c r="J68" s="22"/>
      <c r="K68" s="22">
        <f>FLOOR((K65-K66*3600-K67*60),1)</f>
        <v>0</v>
      </c>
      <c r="L68" s="22"/>
      <c r="M68" s="22"/>
      <c r="N68" s="22"/>
      <c r="O68" s="22"/>
      <c r="P68" s="22"/>
      <c r="Q68" s="22"/>
    </row>
    <row r="69" spans="1:21" ht="15.75" thickBot="1" x14ac:dyDescent="0.3">
      <c r="B69" s="22"/>
      <c r="C69" s="22"/>
      <c r="D69" s="24">
        <f>TIME(D66,D67,D68)</f>
        <v>0</v>
      </c>
      <c r="E69" s="22"/>
      <c r="F69" s="22"/>
      <c r="G69" s="22"/>
      <c r="H69" s="22"/>
      <c r="I69" s="24"/>
      <c r="J69" s="22"/>
      <c r="K69" s="24">
        <f>TIME(K66,K67,K68)</f>
        <v>0</v>
      </c>
      <c r="L69" s="22"/>
      <c r="M69" s="22"/>
      <c r="N69" s="22"/>
      <c r="O69" s="22"/>
      <c r="P69" s="24"/>
      <c r="Q69" s="22"/>
    </row>
    <row r="70" spans="1:21" ht="15.75" thickBot="1" x14ac:dyDescent="0.3">
      <c r="B70" s="25">
        <f>IF(B61="ff","не поддерживается",HEX2DEC(B61))</f>
        <v>0</v>
      </c>
      <c r="C70" s="25">
        <f>IF(C61="ffffffff","не поддерживается",HEX2DEC(C61))</f>
        <v>0</v>
      </c>
      <c r="D70" s="26">
        <f>IF(C61="ffffffff","не поддерживается",D64+D69)</f>
        <v>25569</v>
      </c>
      <c r="E70" s="25">
        <f>IF(E61="ff","не поддерживается",HEX2DEC(E61))</f>
        <v>0</v>
      </c>
      <c r="F70" s="25">
        <f>IF(F61="ff","не поддерживается",HEX2DEC(F61))</f>
        <v>0</v>
      </c>
      <c r="G70" s="25">
        <f>IF(G61="ffffffff","не поддерживается",HEX2DEC(G61))</f>
        <v>0</v>
      </c>
      <c r="H70" s="25">
        <f t="shared" ref="H70:J70" si="14">IF(H61="ffffffff","не поддерживается",HEX2DEC(H61))</f>
        <v>0</v>
      </c>
      <c r="I70" s="25">
        <f t="shared" si="14"/>
        <v>0</v>
      </c>
      <c r="J70" s="25">
        <f t="shared" si="14"/>
        <v>0</v>
      </c>
      <c r="K70" s="26">
        <f>IF(J61="ffffffff","не поддерживается",K64+K69)</f>
        <v>25569</v>
      </c>
      <c r="L70" s="25">
        <f>IF(L61="ff","не поддерживается",HEX2DEC(L61))</f>
        <v>0</v>
      </c>
      <c r="M70" s="25">
        <f>IF(M61="ff","не поддерживается",HEX2DEC(M61))</f>
        <v>0</v>
      </c>
      <c r="N70" s="25">
        <f>IF(N61="ffffffff","не поддерживается",HEX2DEC(N61))</f>
        <v>0</v>
      </c>
      <c r="O70" s="25">
        <f t="shared" ref="O70:Q70" si="15">IF(O61="ffffffff","не поддерживается",HEX2DEC(O61))</f>
        <v>0</v>
      </c>
      <c r="P70" s="25">
        <f t="shared" si="15"/>
        <v>0</v>
      </c>
      <c r="Q70" s="25">
        <f t="shared" si="15"/>
        <v>0</v>
      </c>
    </row>
    <row r="71" spans="1:21" ht="15.75" thickBot="1" x14ac:dyDescent="0.3"/>
    <row r="72" spans="1:21" ht="15.75" thickBot="1" x14ac:dyDescent="0.3">
      <c r="B72" s="67" t="s">
        <v>151</v>
      </c>
      <c r="C72" s="69"/>
      <c r="D72" s="69"/>
      <c r="E72" s="68"/>
      <c r="F72" s="36"/>
      <c r="G72" s="36"/>
    </row>
    <row r="73" spans="1:21" ht="45.75" thickBot="1" x14ac:dyDescent="0.3">
      <c r="B73" s="38" t="s">
        <v>18</v>
      </c>
      <c r="C73" s="38" t="s">
        <v>93</v>
      </c>
      <c r="D73" s="38" t="s">
        <v>152</v>
      </c>
      <c r="E73" s="38" t="s">
        <v>108</v>
      </c>
      <c r="F73" s="43"/>
      <c r="G73" s="43"/>
    </row>
    <row r="74" spans="1:21" x14ac:dyDescent="0.25">
      <c r="A74" s="52"/>
      <c r="B74" s="22" t="str">
        <f>MID($A74,1,2)</f>
        <v/>
      </c>
      <c r="C74" s="22" t="str">
        <f>MID($A74,3,8)</f>
        <v/>
      </c>
      <c r="D74" s="22" t="str">
        <f>MID($A74,7,2)</f>
        <v/>
      </c>
      <c r="E74" s="22" t="str">
        <f>MID($A74,9,2)</f>
        <v/>
      </c>
      <c r="F74" s="34"/>
      <c r="G74" s="34"/>
    </row>
    <row r="75" spans="1:21" ht="15.75" thickBot="1" x14ac:dyDescent="0.3">
      <c r="B75" s="22" t="str">
        <f>Reverse_Word_All(B74)</f>
        <v/>
      </c>
      <c r="C75" s="22" t="str">
        <f>Reverse_Word_All(C74)</f>
        <v/>
      </c>
      <c r="D75" s="22" t="str">
        <f>Reverse_Word_All(D74)</f>
        <v/>
      </c>
      <c r="E75" s="22" t="str">
        <f>Reverse_Word_All(E74)</f>
        <v/>
      </c>
      <c r="F75" s="34"/>
      <c r="G75" s="34"/>
    </row>
    <row r="76" spans="1:21" ht="15.75" thickBot="1" x14ac:dyDescent="0.3">
      <c r="B76" s="25">
        <f>IF(B75="ff","не поддерживается",HEX2DEC(B75))</f>
        <v>0</v>
      </c>
      <c r="C76" s="25">
        <f>IF(C67="ffff","не поддерживается",HEX2DEC(C67))</f>
        <v>0</v>
      </c>
      <c r="D76" s="25" t="str">
        <f>IF(HEX2DEC(D75)=0,"ошибка",IF(D75=1,"", "не поддерживается"))</f>
        <v>ошибка</v>
      </c>
      <c r="E76" s="25">
        <f>IF(E75="ff","не поддерживается",HEX2DEC(E75))</f>
        <v>0</v>
      </c>
      <c r="F76" s="35"/>
      <c r="G76" s="35"/>
    </row>
    <row r="77" spans="1:21" ht="15.75" thickBot="1" x14ac:dyDescent="0.3"/>
    <row r="78" spans="1:21" ht="15.75" thickBot="1" x14ac:dyDescent="0.3">
      <c r="B78" s="67" t="s">
        <v>168</v>
      </c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8"/>
      <c r="T78" s="36"/>
      <c r="U78" s="36"/>
    </row>
    <row r="79" spans="1:21" ht="75.75" thickBot="1" x14ac:dyDescent="0.3">
      <c r="B79" s="39" t="s">
        <v>153</v>
      </c>
      <c r="C79" s="39" t="s">
        <v>154</v>
      </c>
      <c r="D79" s="39" t="s">
        <v>36</v>
      </c>
      <c r="E79" s="39" t="s">
        <v>40</v>
      </c>
      <c r="F79" s="39" t="s">
        <v>41</v>
      </c>
      <c r="G79" s="39" t="s">
        <v>155</v>
      </c>
      <c r="H79" s="39" t="s">
        <v>156</v>
      </c>
      <c r="I79" s="39" t="s">
        <v>157</v>
      </c>
      <c r="J79" s="39" t="s">
        <v>158</v>
      </c>
      <c r="K79" s="39" t="s">
        <v>159</v>
      </c>
      <c r="L79" s="39" t="s">
        <v>160</v>
      </c>
      <c r="M79" s="39" t="s">
        <v>161</v>
      </c>
      <c r="N79" s="39" t="s">
        <v>162</v>
      </c>
      <c r="O79" s="39" t="s">
        <v>163</v>
      </c>
      <c r="P79" s="39" t="s">
        <v>164</v>
      </c>
      <c r="Q79" s="39" t="s">
        <v>165</v>
      </c>
      <c r="R79" s="47" t="s">
        <v>166</v>
      </c>
      <c r="S79" s="40" t="s">
        <v>1</v>
      </c>
      <c r="T79" s="45"/>
      <c r="U79" s="46"/>
    </row>
    <row r="80" spans="1:21" x14ac:dyDescent="0.25">
      <c r="A80" s="52"/>
      <c r="B80" s="22" t="str">
        <f>MID($A80,1,8)</f>
        <v/>
      </c>
      <c r="C80" s="22" t="str">
        <f>MID($A80,9,4)</f>
        <v/>
      </c>
      <c r="D80" s="22" t="str">
        <f>MID($A80,13,4)</f>
        <v/>
      </c>
      <c r="E80" s="22" t="str">
        <f>MID($A80,17,2)</f>
        <v/>
      </c>
      <c r="F80" s="22" t="str">
        <f>MID($A80,19,2)</f>
        <v/>
      </c>
      <c r="G80" s="22" t="str">
        <f>MID($A80,21,2)</f>
        <v/>
      </c>
      <c r="H80" s="22" t="str">
        <f>MID($A80,23,8)</f>
        <v/>
      </c>
      <c r="I80" s="22" t="str">
        <f>MID($A80,31,8)</f>
        <v/>
      </c>
      <c r="J80" s="22" t="str">
        <f>MID($A80,39,2)</f>
        <v/>
      </c>
      <c r="K80" s="22" t="str">
        <f>MID($A80,41,2)</f>
        <v/>
      </c>
      <c r="L80" s="22" t="str">
        <f>MID($A80,43,2)</f>
        <v/>
      </c>
      <c r="M80" s="22" t="str">
        <f>MID($A80,45,2)</f>
        <v/>
      </c>
      <c r="N80" s="22" t="str">
        <f>MID($A80,47,2)</f>
        <v/>
      </c>
      <c r="O80" s="22" t="str">
        <f>MID($A80,49,2)</f>
        <v/>
      </c>
      <c r="P80" s="22" t="str">
        <f>MID($A80,51,2)</f>
        <v/>
      </c>
      <c r="Q80" s="30" t="str">
        <f>MID($A80,53,2)</f>
        <v/>
      </c>
      <c r="R80" s="44" t="str">
        <f>MID($A80,55,2)</f>
        <v/>
      </c>
      <c r="S80" s="30" t="str">
        <f>MID($A80,57,4)</f>
        <v/>
      </c>
      <c r="T80" s="33"/>
      <c r="U80" s="33"/>
    </row>
    <row r="81" spans="1:21" x14ac:dyDescent="0.25">
      <c r="B81" s="22" t="str">
        <f t="shared" ref="B81:S81" si="16">Reverse_Word_All(B80)</f>
        <v/>
      </c>
      <c r="C81" s="22" t="str">
        <f t="shared" si="16"/>
        <v/>
      </c>
      <c r="D81" s="22" t="str">
        <f t="shared" si="16"/>
        <v/>
      </c>
      <c r="E81" s="22" t="str">
        <f t="shared" si="16"/>
        <v/>
      </c>
      <c r="F81" s="22" t="str">
        <f t="shared" si="16"/>
        <v/>
      </c>
      <c r="G81" s="22" t="str">
        <f t="shared" si="16"/>
        <v/>
      </c>
      <c r="H81" s="22" t="str">
        <f t="shared" si="16"/>
        <v/>
      </c>
      <c r="I81" s="22" t="str">
        <f t="shared" si="16"/>
        <v/>
      </c>
      <c r="J81" s="22" t="str">
        <f t="shared" si="16"/>
        <v/>
      </c>
      <c r="K81" s="22" t="str">
        <f t="shared" si="16"/>
        <v/>
      </c>
      <c r="L81" s="22" t="str">
        <f t="shared" si="16"/>
        <v/>
      </c>
      <c r="M81" s="22" t="str">
        <f t="shared" si="16"/>
        <v/>
      </c>
      <c r="N81" s="22" t="str">
        <f t="shared" si="16"/>
        <v/>
      </c>
      <c r="O81" s="22" t="str">
        <f t="shared" si="16"/>
        <v/>
      </c>
      <c r="P81" s="22" t="str">
        <f t="shared" si="16"/>
        <v/>
      </c>
      <c r="Q81" s="22" t="str">
        <f t="shared" si="16"/>
        <v/>
      </c>
      <c r="R81" s="31" t="str">
        <f t="shared" si="16"/>
        <v/>
      </c>
      <c r="S81" s="22" t="str">
        <f t="shared" si="16"/>
        <v/>
      </c>
      <c r="T81" s="34"/>
      <c r="U81" s="34"/>
    </row>
    <row r="82" spans="1:21" x14ac:dyDescent="0.25"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31"/>
      <c r="S82" s="22"/>
      <c r="T82" s="34"/>
      <c r="U82" s="34"/>
    </row>
    <row r="83" spans="1:21" x14ac:dyDescent="0.25"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31"/>
      <c r="S83" s="22"/>
      <c r="T83" s="34"/>
      <c r="U83" s="34"/>
    </row>
    <row r="84" spans="1:21" x14ac:dyDescent="0.25">
      <c r="B84" s="22"/>
      <c r="C84" s="22"/>
      <c r="D84" s="23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31"/>
      <c r="S84" s="22"/>
      <c r="T84" s="34"/>
      <c r="U84" s="34"/>
    </row>
    <row r="85" spans="1:21" x14ac:dyDescent="0.25"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31"/>
      <c r="S85" s="22"/>
      <c r="T85" s="34"/>
      <c r="U85" s="34"/>
    </row>
    <row r="86" spans="1:21" x14ac:dyDescent="0.25"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31"/>
      <c r="S86" s="22"/>
      <c r="T86" s="34"/>
      <c r="U86" s="34"/>
    </row>
    <row r="87" spans="1:21" x14ac:dyDescent="0.25"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31"/>
      <c r="S87" s="22"/>
      <c r="T87" s="34"/>
      <c r="U87" s="34"/>
    </row>
    <row r="88" spans="1:21" x14ac:dyDescent="0.25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31"/>
      <c r="S88" s="22"/>
      <c r="T88" s="34"/>
      <c r="U88" s="34"/>
    </row>
    <row r="89" spans="1:21" ht="15.75" thickBot="1" x14ac:dyDescent="0.3">
      <c r="B89" s="22"/>
      <c r="C89" s="22"/>
      <c r="D89" s="24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31"/>
      <c r="S89" s="22"/>
      <c r="T89" s="34"/>
      <c r="U89" s="34"/>
    </row>
    <row r="90" spans="1:21" ht="45.75" thickBot="1" x14ac:dyDescent="0.3">
      <c r="B90" s="48">
        <f>IF(B81="ffffffff","не поддерживается",HEX2DEC(B81))</f>
        <v>0</v>
      </c>
      <c r="C90" s="48">
        <f>IF(C81="ffff","не поддерживается",HEX2DEC(C81))</f>
        <v>0</v>
      </c>
      <c r="D90" s="48">
        <f>IF(D81="ffff","не поддерживается",HEX2DEC(D81))</f>
        <v>0</v>
      </c>
      <c r="E90" s="48">
        <f>IF(E81="ff","не поддерживается",HEX2DEC(E81))</f>
        <v>0</v>
      </c>
      <c r="F90" s="48">
        <f>IF(F81="ff","не поддерживается",HEX2DEC(F81))</f>
        <v>0</v>
      </c>
      <c r="G90" s="48">
        <f>IF(G81="ff","не поддерживается",HEX2DEC(G81))</f>
        <v>0</v>
      </c>
      <c r="H90" s="48">
        <f>IF(H81="ffffffff","не поддерживается",HEX2DEC(H81))</f>
        <v>0</v>
      </c>
      <c r="I90" s="48">
        <f>IF(I81="ffffffff","не поддерживается",HEX2DEC(I81))</f>
        <v>0</v>
      </c>
      <c r="J90" s="48" t="str">
        <f>IF(HEX2DEC(J81)=0,"1 ч",IF(HEX2DEC(J81)=1,"6 ч",IF(HEX2DEC(J81)=2,"12 ч",IF(HEX2DEC(J81)=3,"24 ч",IF(HEX2DEC(J81)=5,"неделя",IF(HEX2DEC(J81)=6,"месяц","ошибка"))))))</f>
        <v>1 ч</v>
      </c>
      <c r="K90" s="48" t="str">
        <f>IF(HEX2DEC(L81)=0,"еженедельные опросы отсутствуют",IF(HEX2DEC(L81)=1,"по понедельникам",IF(HEX2DEC(L81)=2,"по вторникам",IF(HEX2DEC(L81)=3,"по средам",IF(HEX2DEC(L81)=4,"по четвергам",IF(HEX2DEC(L81)=5,"по пятницам",IF(HEX2DEC(L81)=6,"по субботтам", IF(HEX2DEC(L81)=7,"по воскресеньям", "ошибка"))))))))</f>
        <v>еженедельные опросы отсутствуют</v>
      </c>
      <c r="L90" s="48" t="str">
        <f>IF(AND(HEX2DEC(L81)&gt;0,HEX2DEC(L81)&lt;29), HEX2DEC(L81), "ежемесечные опросы отсутствуют")</f>
        <v>ежемесечные опросы отсутствуют</v>
      </c>
      <c r="M90" s="48" t="str">
        <f>IF(HEX2DEC(M81)=0,"1 ч",IF(HEX2DEC(M81)=1,"6 ч",IF(HEX2DEC(M81)=2,"12 ч",IF(HEX2DEC(M81)=3,"24 ч",IF(HEX2DEC(M81)=5,"неделя",IF(HEX2DEC(M81)=6,"месяц","ошибка"))))))</f>
        <v>1 ч</v>
      </c>
      <c r="N90" s="48" t="str">
        <f>IF(HEX2DEC(O81)=0,"еженедельные опросы отсутствуют",IF(HEX2DEC(O81)=1,"по понедельникам",IF(HEX2DEC(O81)=2,"по вторникам",IF(HEX2DEC(O81)=3,"по средам",IF(HEX2DEC(O81)=4,"по четвергам",IF(HEX2DEC(O81)=5,"по пятницам",IF(HEX2DEC(O81)=6,"по субботтам", IF(HEX2DEC(O81)=7,"по воскресеньям", "ошибка"))))))))</f>
        <v>еженедельные опросы отсутствуют</v>
      </c>
      <c r="O90" s="48" t="str">
        <f>IF(AND(HEX2DEC(O81)&gt;0,HEX2DEC(O81)&lt;29), HEX2DEC(O81), "ежемесечные опросы отсутствуют")</f>
        <v>ежемесечные опросы отсутствуют</v>
      </c>
      <c r="P90" s="48" t="str">
        <f>IF(HEX2DEC(P81)=0,"1 ч",IF(HEX2DEC(P81)=1,"6 ч",IF(HEX2DEC(P81)=2,"12 ч",IF(HEX2DEC(P81)=3,"24 ч",IF(HEX2DEC(P81)=5,"неделя",IF(HEX2DEC(P81)=6,"месяц","ошибка"))))))</f>
        <v>1 ч</v>
      </c>
      <c r="Q90" s="48" t="str">
        <f>IF(HEX2DEC(R81)=0,"еженедельные опросы отсутствуют",IF(HEX2DEC(R81)=1,"по понедельникам",IF(HEX2DEC(R81)=2,"по вторникам",IF(HEX2DEC(R81)=3,"по средам",IF(HEX2DEC(R81)=4,"по четвергам",IF(HEX2DEC(R81)=5,"по пятницам",IF(HEX2DEC(R81)=6,"по субботтам", IF(HEX2DEC(R81)=7,"по воскресеньям", "ошибка"))))))))</f>
        <v>еженедельные опросы отсутствуют</v>
      </c>
      <c r="R90" s="48" t="str">
        <f>IF(AND(HEX2DEC(R81)&gt;0,HEX2DEC(R81)&lt;29), HEX2DEC(R81), "ежемесечные опросы отсутствуют")</f>
        <v>ежемесечные опросы отсутствуют</v>
      </c>
      <c r="S90" s="48">
        <f>IF(S81="ffff","не поддерживается",HEX2DEC(S81))</f>
        <v>0</v>
      </c>
      <c r="T90" s="35"/>
      <c r="U90" s="35"/>
    </row>
    <row r="91" spans="1:21" ht="15.75" thickBot="1" x14ac:dyDescent="0.3"/>
    <row r="92" spans="1:21" ht="15.75" thickBot="1" x14ac:dyDescent="0.3">
      <c r="B92" s="67" t="s">
        <v>167</v>
      </c>
      <c r="C92" s="68"/>
      <c r="D92" s="36"/>
      <c r="E92" s="36"/>
    </row>
    <row r="93" spans="1:21" ht="15.75" thickBot="1" x14ac:dyDescent="0.3">
      <c r="B93" s="42" t="s">
        <v>18</v>
      </c>
      <c r="C93" s="38" t="s">
        <v>97</v>
      </c>
      <c r="D93" s="43"/>
      <c r="E93" s="43"/>
    </row>
    <row r="94" spans="1:21" x14ac:dyDescent="0.25">
      <c r="A94" s="52"/>
      <c r="B94" s="49" t="str">
        <f>MID($A94,1,2)</f>
        <v/>
      </c>
      <c r="C94" s="22" t="str">
        <f>MID($A94,3,8)</f>
        <v/>
      </c>
      <c r="D94" s="34"/>
      <c r="E94" s="34"/>
    </row>
    <row r="95" spans="1:21" x14ac:dyDescent="0.25">
      <c r="B95" s="31" t="str">
        <f>Reverse_Word_All(B94)</f>
        <v/>
      </c>
      <c r="C95" s="22" t="str">
        <f>Reverse_Word_All(C94)</f>
        <v/>
      </c>
      <c r="D95" s="34"/>
      <c r="E95" s="34"/>
    </row>
    <row r="96" spans="1:21" x14ac:dyDescent="0.25">
      <c r="B96" s="50"/>
      <c r="C96" s="22">
        <f>HEX2DEC(C95)</f>
        <v>0</v>
      </c>
      <c r="D96" s="35"/>
      <c r="E96" s="35"/>
    </row>
    <row r="97" spans="2:5" x14ac:dyDescent="0.25">
      <c r="B97" s="44"/>
      <c r="C97" s="22">
        <f>FLOOR(C96/24/3600,1)</f>
        <v>0</v>
      </c>
      <c r="D97" s="33"/>
      <c r="E97" s="33"/>
    </row>
    <row r="98" spans="2:5" x14ac:dyDescent="0.25">
      <c r="B98" s="44"/>
      <c r="C98" s="23">
        <f>DATE(1970,1,1)+C97</f>
        <v>25569</v>
      </c>
      <c r="D98" s="33"/>
      <c r="E98" s="33"/>
    </row>
    <row r="99" spans="2:5" x14ac:dyDescent="0.25">
      <c r="B99" s="44"/>
      <c r="C99" s="22">
        <f>C96-C97*24*3600</f>
        <v>0</v>
      </c>
      <c r="D99" s="33"/>
      <c r="E99" s="33"/>
    </row>
    <row r="100" spans="2:5" x14ac:dyDescent="0.25">
      <c r="B100" s="44"/>
      <c r="C100" s="22">
        <f>FLOOR(C99/3600,1)</f>
        <v>0</v>
      </c>
      <c r="D100" s="33"/>
      <c r="E100" s="33"/>
    </row>
    <row r="101" spans="2:5" x14ac:dyDescent="0.25">
      <c r="B101" s="44"/>
      <c r="C101" s="22">
        <f>FLOOR((C99-C100*3600)/60,1)</f>
        <v>0</v>
      </c>
      <c r="D101" s="33"/>
      <c r="E101" s="33"/>
    </row>
    <row r="102" spans="2:5" x14ac:dyDescent="0.25">
      <c r="B102" s="44"/>
      <c r="C102" s="22">
        <f>FLOOR((C99-C100*3600-C101*60),1)</f>
        <v>0</v>
      </c>
      <c r="D102" s="33"/>
      <c r="E102" s="33"/>
    </row>
    <row r="103" spans="2:5" ht="15.75" thickBot="1" x14ac:dyDescent="0.3">
      <c r="B103" s="44"/>
      <c r="C103" s="24">
        <f>TIME(C100,C101,C102)</f>
        <v>0</v>
      </c>
      <c r="D103" s="33"/>
      <c r="E103" s="33"/>
    </row>
    <row r="104" spans="2:5" ht="15.75" thickBot="1" x14ac:dyDescent="0.3">
      <c r="B104" s="32">
        <f>IF(B95="ff","не поддерживается",HEX2DEC(B95))</f>
        <v>0</v>
      </c>
      <c r="C104" s="26">
        <f>IF(B95="ffffffff","не поддерживается",C98+C103)</f>
        <v>25569</v>
      </c>
      <c r="D104" s="33"/>
      <c r="E104" s="33"/>
    </row>
  </sheetData>
  <mergeCells count="7">
    <mergeCell ref="B92:C92"/>
    <mergeCell ref="B10:P10"/>
    <mergeCell ref="B24:U24"/>
    <mergeCell ref="B44:M44"/>
    <mergeCell ref="B38:G38"/>
    <mergeCell ref="B72:E72"/>
    <mergeCell ref="B78:S78"/>
  </mergeCells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Запросы</vt:lpstr>
      <vt:lpstr>Конфигуратор</vt:lpstr>
      <vt:lpstr>Реле</vt:lpstr>
      <vt:lpstr>Инструкция</vt:lpstr>
      <vt:lpstr>Приход_пакеты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skzi</dc:creator>
  <cp:lastModifiedBy>Admin</cp:lastModifiedBy>
  <cp:lastPrinted>2019-02-11T11:47:39Z</cp:lastPrinted>
  <dcterms:created xsi:type="dcterms:W3CDTF">2018-08-31T01:44:57Z</dcterms:created>
  <dcterms:modified xsi:type="dcterms:W3CDTF">2019-11-29T13:50:47Z</dcterms:modified>
</cp:coreProperties>
</file>